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a Gantt" sheetId="1" state="visible" r:id="rId3"/>
    <sheet name="Responsables" sheetId="2" state="visible" r:id="rId4"/>
    <sheet name="Informe Tecnico" sheetId="3" state="visible" r:id="rId5"/>
    <sheet name="Informe Academico" sheetId="4" state="visible" r:id="rId6"/>
    <sheet name="Pagina Web" sheetId="5" state="visible" r:id="rId7"/>
    <sheet name="Apor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<sst xmlns="http://schemas.openxmlformats.org/spreadsheetml/2006/main" count="754" uniqueCount="403">
  <si>
    <t xml:space="preserve">Carta Gantt maestra v6 - Optimizacion del prestow de celulosa, Puerto Lirquen</t>
  </si>
  <si>
    <t xml:space="preserve">7 semanas de trabajo + semana 8 de colchon. Tareas generales; el detalle esta en las hojas de cada entregable.</t>
  </si>
  <si>
    <t xml:space="preserve">Columnas K, L y M: avance acumulado de cada entregable al cerrar la semana en que termina esa tarea.</t>
  </si>
  <si>
    <t xml:space="preserve">Semana</t>
  </si>
  <si>
    <t xml:space="preserve">ID</t>
  </si>
  <si>
    <t xml:space="preserve">Fase</t>
  </si>
  <si>
    <t xml:space="preserve">Tarea</t>
  </si>
  <si>
    <t xml:space="preserve">Artefacto verificable</t>
  </si>
  <si>
    <t xml:space="preserve">Depende de</t>
  </si>
  <si>
    <t xml:space="preserve">Inicio</t>
  </si>
  <si>
    <t xml:space="preserve">Duracion</t>
  </si>
  <si>
    <t xml:space="preserve">Fin</t>
  </si>
  <si>
    <t xml:space="preserve">Critica</t>
  </si>
  <si>
    <t xml:space="preserve">% Inf. Tecnico</t>
  </si>
  <si>
    <t xml:space="preserve">% Inf. Academico</t>
  </si>
  <si>
    <t xml:space="preserve">% Pagina web</t>
  </si>
  <si>
    <t xml:space="preserve">F0. Encuadre</t>
  </si>
  <si>
    <t xml:space="preserve">Registro de supuestos: los 6 no resueltos, con justificacion e impacto</t>
  </si>
  <si>
    <t xml:space="preserve">Tabla de supuestos versionada</t>
  </si>
  <si>
    <t xml:space="preserve">-</t>
  </si>
  <si>
    <t xml:space="preserve">Si</t>
  </si>
  <si>
    <t xml:space="preserve">Congelar el caso base: Kiwi Arrow, hoja PRESTOW N 06</t>
  </si>
  <si>
    <t xml:space="preserve">Una sola fuente de verdad declarada</t>
  </si>
  <si>
    <t xml:space="preserve">Escribir la propuesta de valor: velocidad y repetibilidad, no mejor calidad</t>
  </si>
  <si>
    <t xml:space="preserve">Parrafo que ira al Resumen Ejecutivo</t>
  </si>
  <si>
    <t xml:space="preserve">F1. Datos</t>
  </si>
  <si>
    <t xml:space="preserve">Desocultar hojas y separar Kiwi Arrow de Misago y Eagle Arrow</t>
  </si>
  <si>
    <t xml:space="preserve">Inventario de hojas por buque</t>
  </si>
  <si>
    <t xml:space="preserve">No</t>
  </si>
  <si>
    <t xml:space="preserve">Extraer el prestow a CSV estructurado</t>
  </si>
  <si>
    <t xml:space="preserve">CSV bodega-plan-destino-producto</t>
  </si>
  <si>
    <t xml:space="preserve">4</t>
  </si>
  <si>
    <t xml:space="preserve">Leer los dibujos de planimetria y tabular unidades por plan</t>
  </si>
  <si>
    <t xml:space="preserve">CSV unid/plan por bodega, producto y altura</t>
  </si>
  <si>
    <t xml:space="preserve">Registrar inconsistencias entre celdas auxiliares y dibujos</t>
  </si>
  <si>
    <t xml:space="preserve">Bitacora de discrepancias</t>
  </si>
  <si>
    <t xml:space="preserve">6</t>
  </si>
  <si>
    <t xml:space="preserve">Diccionario de datos: campos, tipos, rangos y reglas</t>
  </si>
  <si>
    <t xml:space="preserve">Diccionario para el anexo</t>
  </si>
  <si>
    <t xml:space="preserve">5,6</t>
  </si>
  <si>
    <t xml:space="preserve">F2. Metodo</t>
  </si>
  <si>
    <t xml:space="preserve">Leer el survey de estiba y 4 a 6 trabajos adicionales</t>
  </si>
  <si>
    <t xml:space="preserve">Fichas de lectura</t>
  </si>
  <si>
    <t xml:space="preserve">Tabla comparativa modelo / objetivo / metodo / aplicabilidad a Lirquen</t>
  </si>
  <si>
    <t xml:space="preserve">Tabla comparativa</t>
  </si>
  <si>
    <t xml:space="preserve">9</t>
  </si>
  <si>
    <t xml:space="preserve">Seleccion analitica del metodo, con pros, contras y justificacion</t>
  </si>
  <si>
    <t xml:space="preserve">Memo de seleccion de metodo</t>
  </si>
  <si>
    <t xml:space="preserve">10</t>
  </si>
  <si>
    <t xml:space="preserve">F3. Definicion</t>
  </si>
  <si>
    <t xml:space="preserve">Definir funcion objetivo y alcance del sistema (que hace y que NO hace)</t>
  </si>
  <si>
    <t xml:space="preserve">Una pagina acordada por el grupo</t>
  </si>
  <si>
    <t xml:space="preserve">1,2,3</t>
  </si>
  <si>
    <t xml:space="preserve">Definir KPIs: rapido, parejo, lleno, limpio, fiel</t>
  </si>
  <si>
    <t xml:space="preserve">Tabla KPI con formula y stakeholder</t>
  </si>
  <si>
    <t xml:space="preserve">12</t>
  </si>
  <si>
    <t xml:space="preserve">Formular el modelo matematico completo</t>
  </si>
  <si>
    <t xml:space="preserve">Variables, parametros, FO y restricciones</t>
  </si>
  <si>
    <t xml:space="preserve">11,12</t>
  </si>
  <si>
    <t xml:space="preserve">F4. Nucleo</t>
  </si>
  <si>
    <t xml:space="preserve">Implementar el packer 2D por capa</t>
  </si>
  <si>
    <t xml:space="preserve">Modulo con pruebas unitarias</t>
  </si>
  <si>
    <t xml:space="preserve">6,14</t>
  </si>
  <si>
    <t xml:space="preserve">Implementar el modelo de asignacion bodega-plan-destino</t>
  </si>
  <si>
    <t xml:space="preserve">Modulo que resuelve el caso base</t>
  </si>
  <si>
    <t xml:space="preserve">14</t>
  </si>
  <si>
    <t xml:space="preserve">Construir el generador de instancias sinteticas</t>
  </si>
  <si>
    <t xml:space="preserve">Script + set de instancias de prueba</t>
  </si>
  <si>
    <t xml:space="preserve">8,14</t>
  </si>
  <si>
    <t xml:space="preserve">Integracion punta a punta: esqueleto en semana 4, version completa en semana 5</t>
  </si>
  <si>
    <t xml:space="preserve">Flujo que corre de archivo a resultado</t>
  </si>
  <si>
    <t xml:space="preserve">15,16</t>
  </si>
  <si>
    <t xml:space="preserve">F5. Pagina web</t>
  </si>
  <si>
    <t xml:space="preserve">Definir formato de datos de entrada y reglas de validacion</t>
  </si>
  <si>
    <t xml:space="preserve">Especificacion de entrada + ejemplos</t>
  </si>
  <si>
    <t xml:space="preserve">8,12</t>
  </si>
  <si>
    <t xml:space="preserve">Construir la pagina: cargar datos, ejecutar, ver resultados</t>
  </si>
  <si>
    <t xml:space="preserve">Pagina navegable</t>
  </si>
  <si>
    <t xml:space="preserve">18,19</t>
  </si>
  <si>
    <t xml:space="preserve">Definir la salida y documentar su estructura</t>
  </si>
  <si>
    <t xml:space="preserve">Especificacion de salida</t>
  </si>
  <si>
    <t xml:space="preserve">18</t>
  </si>
  <si>
    <t xml:space="preserve">Desplegar y probar en otro navegador y otra maquina</t>
  </si>
  <si>
    <t xml:space="preserve">Enlace funcionando fuera del PC del autor</t>
  </si>
  <si>
    <t xml:space="preserve">20</t>
  </si>
  <si>
    <t xml:space="preserve">Set de datos de prueba con resultados conocidos</t>
  </si>
  <si>
    <t xml:space="preserve">Archivos de prueba + resultados esperados</t>
  </si>
  <si>
    <t xml:space="preserve">17,18</t>
  </si>
  <si>
    <t xml:space="preserve">F6. Validacion</t>
  </si>
  <si>
    <t xml:space="preserve">Reproducir el plan manual real: cero overstowage y balance 7 por ciento</t>
  </si>
  <si>
    <t xml:space="preserve">Reporte de coherencia contra linea base</t>
  </si>
  <si>
    <t xml:space="preserve">Pruebas de coherencia interna (sustituyen a la validacion externa ausente)</t>
  </si>
  <si>
    <t xml:space="preserve">Bateria de pruebas documentada</t>
  </si>
  <si>
    <t xml:space="preserve">Sensibilidad a los rendimientos t/h</t>
  </si>
  <si>
    <t xml:space="preserve">Tabla de sensibilidad</t>
  </si>
  <si>
    <t xml:space="preserve">24</t>
  </si>
  <si>
    <t xml:space="preserve">Sensibilidad al tamano de instancia y tiempo de resolucion</t>
  </si>
  <si>
    <t xml:space="preserve">Curva tiempo vs tamano</t>
  </si>
  <si>
    <t xml:space="preserve">Congelamiento de codigo: desde aqui solo se corrigen errores</t>
  </si>
  <si>
    <t xml:space="preserve">Version etiquetada del repositorio</t>
  </si>
  <si>
    <t xml:space="preserve">22,23,25</t>
  </si>
  <si>
    <t xml:space="preserve">F7. Documentacion</t>
  </si>
  <si>
    <t xml:space="preserve">Bitacora continua de planificado contra ejecutado</t>
  </si>
  <si>
    <t xml:space="preserve">Bitacora semanal (insumo del informe academico)</t>
  </si>
  <si>
    <t xml:space="preserve">Redactar informe tecnico: secciones que no dependen de resultados</t>
  </si>
  <si>
    <t xml:space="preserve">Secciones 2 a 6 en borrador</t>
  </si>
  <si>
    <t xml:space="preserve">11,12,14</t>
  </si>
  <si>
    <t xml:space="preserve">Redactar informe tecnico: manual de usuario y validacion</t>
  </si>
  <si>
    <t xml:space="preserve">Secciones 1, 7 y 8 cerradas</t>
  </si>
  <si>
    <t xml:space="preserve">20,22,23,25</t>
  </si>
  <si>
    <t xml:space="preserve">Redactar informe academico: secciones que no dependen de resultados</t>
  </si>
  <si>
    <t xml:space="preserve">Secciones 1, 3, 4, 5 y 6 en borrador</t>
  </si>
  <si>
    <t xml:space="preserve">1,7,11,13,14</t>
  </si>
  <si>
    <t xml:space="preserve">Redactar informe academico: resultados, validacion y reflexion</t>
  </si>
  <si>
    <t xml:space="preserve">Secciones 2, 7, 8, 9 y 10 cerradas</t>
  </si>
  <si>
    <t xml:space="preserve">24,25,26,27,29</t>
  </si>
  <si>
    <t xml:space="preserve">Armar anexos: codigo comentado, glosario, diccionario, casos de prueba</t>
  </si>
  <si>
    <t xml:space="preserve">Carpeta de anexos</t>
  </si>
  <si>
    <t xml:space="preserve">8,23</t>
  </si>
  <si>
    <t xml:space="preserve">Revision final cruzada: cada integrante revisa lo que no escribio</t>
  </si>
  <si>
    <t xml:space="preserve">Checklist de revision firmado</t>
  </si>
  <si>
    <t xml:space="preserve">30,31,32,33,34</t>
  </si>
  <si>
    <t xml:space="preserve">F8. Colchon</t>
  </si>
  <si>
    <t xml:space="preserve">Semana de colchon: solo correcciones, cero funcionalidad nueva</t>
  </si>
  <si>
    <t xml:space="preserve">Entrega enviada</t>
  </si>
  <si>
    <t xml:space="preserve">35</t>
  </si>
  <si>
    <t xml:space="preserve">Leyenda</t>
  </si>
  <si>
    <t xml:space="preserve">Naranjo = ruta critica.  Verde = colchon.  Gris = tiene holgura.  Amarillo = celda editable.</t>
  </si>
  <si>
    <t xml:space="preserve">Hojas del libro: esta maestra, una por entregable con sus subtareas, y Aportes con los pesos.</t>
  </si>
  <si>
    <t xml:space="preserve">Supuestos de esta version (deben quedar en el registro de la tarea 1)</t>
  </si>
  <si>
    <t xml:space="preserve">1. No habra contacto con la contraparte. Las 6 incognitas abiertas se resuelven por supuesto declarado.</t>
  </si>
  <si>
    <t xml:space="preserve">2. El Puerto fija el tonelaje por bodega. Informacion del grupo, sin confirmar.</t>
  </si>
  <si>
    <t xml:space="preserve">3. Los rendimientos t/h se toman del Excel como parametro. Por eso la tarea 26 es obligatoria.</t>
  </si>
  <si>
    <t xml:space="preserve">4. Los pares de bodegas por cuadrilla se asumen fijos: (8+7), (6+5), (4+3), (2+1).</t>
  </si>
  <si>
    <t xml:space="preserve">5. Una unidad pesa 2,02 t con huella de 0,84 x 1,47 m. Factor de estiba implicito 1,05 m3/t.</t>
  </si>
  <si>
    <t xml:space="preserve">6. La duracion de la tarea 6 es estimada, no medida. Es el mayor riesgo de atraso del proyecto.</t>
  </si>
  <si>
    <t xml:space="preserve">7. El nucleo de optimizacion y la interfaz se entregan como pagina web, no como programa instalable.</t>
  </si>
  <si>
    <t xml:space="preserve">Reglas de operacion</t>
  </si>
  <si>
    <t xml:space="preserve">Ninguna tarea se marca terminada sin su artefacto verificable.</t>
  </si>
  <si>
    <t xml:space="preserve">La semana 8 es colchon, no descanso planificado. Si le asignan trabajo, dejan de tener colchon.</t>
  </si>
  <si>
    <t xml:space="preserve">Despues del congelamiento (tarea 28) no se agrega funcionalidad, aunque sobre tiempo.</t>
  </si>
  <si>
    <t xml:space="preserve">Responsables del proyecto</t>
  </si>
  <si>
    <t xml:space="preserve">Un pivote y cuatro encargados. El encargado responde por que el entregable se cumpla; no necesariamente lo ejecuta.</t>
  </si>
  <si>
    <t xml:space="preserve">EL EQUIPO</t>
  </si>
  <si>
    <t xml:space="preserve">Rol</t>
  </si>
  <si>
    <t xml:space="preserve">Nombre</t>
  </si>
  <si>
    <t xml:space="preserve">Frente del que responde</t>
  </si>
  <si>
    <t xml:space="preserve">Qué significa responder por él</t>
  </si>
  <si>
    <t xml:space="preserve">Pivote</t>
  </si>
  <si>
    <t xml:space="preserve">Todo el proyecto</t>
  </si>
  <si>
    <t xml:space="preserve">Acompaña a los cuatro encargados y conecta las tareas entre sí. No ejecuta un frente propio: su trabajo es que las piezas encajen. Detecta cuando un frente depende de otro y nadie lo dijo.</t>
  </si>
  <si>
    <t xml:space="preserve">Encargado 1</t>
  </si>
  <si>
    <t xml:space="preserve">Datos y Metodo (F1, F2, F3)</t>
  </si>
  <si>
    <t xml:space="preserve">Que existan los CSV, el diccionario, las fichas de lectura, el memo de metodo, la funcion objetivo, los KPIs y el modelo matematico. Alimenta a los otros tres frentes.</t>
  </si>
  <si>
    <t xml:space="preserve">Encargado 2</t>
  </si>
  <si>
    <t xml:space="preserve">Pagina web (F4, F5)</t>
  </si>
  <si>
    <t xml:space="preserve">Que el sistema exista, corra de punta a punta y este desplegado con su caso demo. Incluye el nucleo de optimizacion y la interfaz.</t>
  </si>
  <si>
    <t xml:space="preserve">Encargado 3</t>
  </si>
  <si>
    <t xml:space="preserve">Informe Tecnico</t>
  </si>
  <si>
    <t xml:space="preserve">Que las 28 subtareas del informe tecnico existan, respeten su limite de paginas y no se contradigan entre si. Incluye el manual de usuario.</t>
  </si>
  <si>
    <t xml:space="preserve">Encargado 4</t>
  </si>
  <si>
    <t xml:space="preserve">Informe Academico</t>
  </si>
  <si>
    <t xml:space="preserve">Que las 29 subtareas del informe academico existan. Incluye la bitacora semanal, que es el unico insumo de la seccion 2.</t>
  </si>
  <si>
    <t xml:space="preserve">QUE ENTREGABLE CUBRE CADA FASE</t>
  </si>
  <si>
    <t xml:space="preserve">Las fases F0, F6, F7 y F8 no tienen un encargado unico: se reparten segun se indica.</t>
  </si>
  <si>
    <t xml:space="preserve">Tareas</t>
  </si>
  <si>
    <t xml:space="preserve">Encargado</t>
  </si>
  <si>
    <t xml:space="preserve">Observacion</t>
  </si>
  <si>
    <t xml:space="preserve">1, 2, 3</t>
  </si>
  <si>
    <t xml:space="preserve">Los cinco</t>
  </si>
  <si>
    <t xml:space="preserve">Las tres son decisiones del grupo completo. Si las toma una persona sola, los otros cuatro escriben sobre supuestos distintos durante cinco semanas.</t>
  </si>
  <si>
    <t xml:space="preserve">4 a 8</t>
  </si>
  <si>
    <t xml:space="preserve">Alimenta al nucleo y a la seccion de tratamiento de datos del informe academico.</t>
  </si>
  <si>
    <t xml:space="preserve">9, 10, 11</t>
  </si>
  <si>
    <t xml:space="preserve">El memo de la tarea 11 vale 30 puntos del informe academico.</t>
  </si>
  <si>
    <t xml:space="preserve">12, 13, 14</t>
  </si>
  <si>
    <t xml:space="preserve">La tarea 12 es del grupo completo aunque el encargado 1 la conduzca: define lo que los cinco van a citar.</t>
  </si>
  <si>
    <t xml:space="preserve">15 a 18</t>
  </si>
  <si>
    <t xml:space="preserve">Packer, asignador, generador de instancias e integracion.</t>
  </si>
  <si>
    <t xml:space="preserve">19 a 23</t>
  </si>
  <si>
    <t xml:space="preserve">Entrada de datos, interfaz, salida y despliegue.</t>
  </si>
  <si>
    <t xml:space="preserve">24 a 28</t>
  </si>
  <si>
    <t xml:space="preserve">Encargado 2 ejecuta, 3 y 4 documentan</t>
  </si>
  <si>
    <t xml:space="preserve">El codigo lo corre quien lo escribio; los resultados los documentan los encargados de informes.</t>
  </si>
  <si>
    <t xml:space="preserve">29 a 35</t>
  </si>
  <si>
    <t xml:space="preserve">Encargados 3 y 4</t>
  </si>
  <si>
    <t xml:space="preserve">La tarea 29, bitacora, la lleva el encargado 4 pero rotando quien la completa cada semana.</t>
  </si>
  <si>
    <t xml:space="preserve">36</t>
  </si>
  <si>
    <t xml:space="preserve">Coordina el cierre. Nadie planifica trabajo dentro de esta semana.</t>
  </si>
  <si>
    <t xml:space="preserve">EL ROL PIVOTE, EN CONCRETO</t>
  </si>
  <si>
    <t xml:space="preserve">Un pivote sin tareas propias se diluye. Estos son los puntos donde su trabajo es verificable.</t>
  </si>
  <si>
    <t xml:space="preserve">Punto de control del pivote</t>
  </si>
  <si>
    <t xml:space="preserve">Por que ahi</t>
  </si>
  <si>
    <t xml:space="preserve">1</t>
  </si>
  <si>
    <t xml:space="preserve">Que las tres tareas de encuadre salgan con artefacto escrito, no con acuerdo verbal</t>
  </si>
  <si>
    <t xml:space="preserve">Un acuerdo verbal del lunes no sobrevive a la semana 4.</t>
  </si>
  <si>
    <t xml:space="preserve">Que se cronometre la lectura de un plano y se extrapole</t>
  </si>
  <si>
    <t xml:space="preserve">La tarea 6 es la unica cuya duracion nunca se midio. Es el mayor riesgo de atraso.</t>
  </si>
  <si>
    <t xml:space="preserve">2</t>
  </si>
  <si>
    <t xml:space="preserve">Que el memo de metodo tenga alternativas comparadas, no una frase</t>
  </si>
  <si>
    <t xml:space="preserve">Es el rubro de 30 puntos. Sin proceso documentado no hay nada que evaluar.</t>
  </si>
  <si>
    <t xml:space="preserve">3</t>
  </si>
  <si>
    <t xml:space="preserve">Que el stack y los contratos se cierren antes de que alguien escriba codigo</t>
  </si>
  <si>
    <t xml:space="preserve">Si los contratos no estan escritos, la integracion de la semana 4 se convierte en cirugia.</t>
  </si>
  <si>
    <t xml:space="preserve">Que el esqueleto de integracion corra, aunque sea feo</t>
  </si>
  <si>
    <t xml:space="preserve">Responde una pregunta binaria mientras queda una semana liviana para reaccionar.</t>
  </si>
  <si>
    <t xml:space="preserve">5</t>
  </si>
  <si>
    <t xml:space="preserve">Que la especificacion de entrada este cerrada</t>
  </si>
  <si>
    <t xml:space="preserve">El manual de usuario se escribe en paralelo y no puede hacerlo a ciegas.</t>
  </si>
  <si>
    <t xml:space="preserve">Que las cifras del informe tecnico y del academico coincidan entre si</t>
  </si>
  <si>
    <t xml:space="preserve">El resultado del resumen ejecutivo, la comparacion y la captura del manual deben ser el mismo numero.</t>
  </si>
  <si>
    <t xml:space="preserve">7</t>
  </si>
  <si>
    <t xml:space="preserve">Que el congelamiento se respete</t>
  </si>
  <si>
    <t xml:space="preserve">Despues de esa marca, cualquier cambio deja la documentacion describiendo un sistema que ya no existe.</t>
  </si>
  <si>
    <t xml:space="preserve">REGLAS DEL ESQUEMA</t>
  </si>
  <si>
    <t xml:space="preserve">1. El encargado responde por que el entregable se cumpla, no por ejecutarlo solo. Puede delegar la produccion; no puede delegar la responsabilidad.</t>
  </si>
  <si>
    <t xml:space="preserve">2. Nadie marca una tarea como terminada salvo su encargado, y solo contra el artefacto verificable.</t>
  </si>
  <si>
    <t xml:space="preserve">3. El pivote no ejecuta un frente propio. Si termina programando o redactando, el equipo perdio su unico rol de coordinacion.</t>
  </si>
  <si>
    <t xml:space="preserve">4. La bitacora la completa una persona distinta cada semana, aunque el encargado 4 responda por que exista.</t>
  </si>
  <si>
    <t xml:space="preserve">5. Las tres tareas de encuadre (F0) no tienen encargado: son del grupo completo, en una sola reunion.</t>
  </si>
  <si>
    <t xml:space="preserve">6. Si un encargado detecta que su frente depende de otro y eso no estaba previsto, se lo dice al pivote antes de reprogramar nada.</t>
  </si>
  <si>
    <t xml:space="preserve">Carga estimada por frente, para calibrar el reparto</t>
  </si>
  <si>
    <t xml:space="preserve">Frente</t>
  </si>
  <si>
    <t xml:space="preserve">Tareas maestras</t>
  </si>
  <si>
    <t xml:space="preserve">Subtareas</t>
  </si>
  <si>
    <t xml:space="preserve">Semanas de mayor carga</t>
  </si>
  <si>
    <t xml:space="preserve">Datos y Metodo</t>
  </si>
  <si>
    <t xml:space="preserve">11 (F1+F2+F3)</t>
  </si>
  <si>
    <t xml:space="preserve">Semanas 1 y 2. Baja mucho desde la 3.</t>
  </si>
  <si>
    <t xml:space="preserve">Pagina web</t>
  </si>
  <si>
    <t xml:space="preserve">9 (F4+F5)</t>
  </si>
  <si>
    <t xml:space="preserve">27</t>
  </si>
  <si>
    <t xml:space="preserve">Semanas 3 a 6. Nada en las semanas 1 y 2.</t>
  </si>
  <si>
    <t xml:space="preserve">28</t>
  </si>
  <si>
    <t xml:space="preserve">Semanas 3 a 4 y 6 a 7, por la redaccion adelantada.</t>
  </si>
  <si>
    <t xml:space="preserve">29</t>
  </si>
  <si>
    <t xml:space="preserve">Semanas 3 a 4 y 6 a 7. La bitacora corre las siete.</t>
  </si>
  <si>
    <t xml:space="preserve">El encargado 2 no tiene carga en las semanas 1 y 2, y el 1 casi no la tiene desde la 4. Conviene que se apoyen mutuamente en esos tramos.</t>
  </si>
  <si>
    <t xml:space="preserve">Carta Gantt - Informe Tecnico y Manual de Usuario</t>
  </si>
  <si>
    <t xml:space="preserve">Subtareas que componen este entregable. La columna 'Tarea maestra' apunta al ID de la hoja Carta Gantt.</t>
  </si>
  <si>
    <t xml:space="preserve">Seccion</t>
  </si>
  <si>
    <t xml:space="preserve">Subtarea</t>
  </si>
  <si>
    <t xml:space="preserve">Artefacto</t>
  </si>
  <si>
    <t xml:space="preserve">Tarea maestra</t>
  </si>
  <si>
    <t xml:space="preserve">1. Resumen Ejecutivo</t>
  </si>
  <si>
    <t xml:space="preserve">Redactar problema, tipo de solucion, beneficios y resultado principal</t>
  </si>
  <si>
    <t xml:space="preserve">1 pagina cerrada</t>
  </si>
  <si>
    <t xml:space="preserve">2. Problema y Alcance</t>
  </si>
  <si>
    <t xml:space="preserve">Redactar descripcion del sistema y stakeholders</t>
  </si>
  <si>
    <t xml:space="preserve">Seccion redactada</t>
  </si>
  <si>
    <t xml:space="preserve">Redactar restricciones consideradas y supuestos del negocio</t>
  </si>
  <si>
    <t xml:space="preserve">Redactar que hace y que NO hace el sistema, con limites de tamano</t>
  </si>
  <si>
    <t xml:space="preserve">3. Objetivos</t>
  </si>
  <si>
    <t xml:space="preserve">Redactar que optimiza o mejora el software</t>
  </si>
  <si>
    <t xml:space="preserve">4. Modelo y Metodo</t>
  </si>
  <si>
    <t xml:space="preserve">Explicar el modelo en texto para lector no experto en optimizacion</t>
  </si>
  <si>
    <t xml:space="preserve">Anexar el modelo matematico formal</t>
  </si>
  <si>
    <t xml:space="preserve">Anexo referenciado</t>
  </si>
  <si>
    <t xml:space="preserve">Describir metodos seleccionados con referencias y adaptaciones</t>
  </si>
  <si>
    <t xml:space="preserve">Seccion con citas APA 7</t>
  </si>
  <si>
    <t xml:space="preserve">Dibujar la arquitectura conceptual del metodo de solucion</t>
  </si>
  <si>
    <t xml:space="preserve">Diagrama</t>
  </si>
  <si>
    <t xml:space="preserve">Escribir pseudocodigo o flujo logico de cada seccion del metodo</t>
  </si>
  <si>
    <t xml:space="preserve">Pseudocodigo en anexo</t>
  </si>
  <si>
    <t xml:space="preserve">5. Arquitectura</t>
  </si>
  <si>
    <t xml:space="preserve">Documentar lenguaje, librerias y modulos con sus propositos</t>
  </si>
  <si>
    <t xml:space="preserve">6. Datos de Entrada</t>
  </si>
  <si>
    <t xml:space="preserve">Listar archivos requeridos y sus tipos</t>
  </si>
  <si>
    <t xml:space="preserve">Definir cada campo, limites de tamano y reglas de valores</t>
  </si>
  <si>
    <t xml:space="preserve">Tabla de campos</t>
  </si>
  <si>
    <t xml:space="preserve">Preparar extracto de ejemplo y archivos de muestra adjuntos</t>
  </si>
  <si>
    <t xml:space="preserve">Archivos adjuntos</t>
  </si>
  <si>
    <t xml:space="preserve">7. Manual de Usuario</t>
  </si>
  <si>
    <t xml:space="preserve">Redactar instalacion, acceso a la pagina y dependencias</t>
  </si>
  <si>
    <t xml:space="preserve">Redactar como ejecutar y parametros configurables</t>
  </si>
  <si>
    <t xml:space="preserve">Redactar ejemplo paso a paso con los datos de prueba</t>
  </si>
  <si>
    <t xml:space="preserve">Seccion con capturas</t>
  </si>
  <si>
    <t xml:space="preserve">Documentar resultados y archivos de salida generados</t>
  </si>
  <si>
    <t xml:space="preserve">Redactar limitaciones: tamanos maximos y calidad esperable</t>
  </si>
  <si>
    <t xml:space="preserve">Redactar recomendaciones de uso y reglas de acceso</t>
  </si>
  <si>
    <t xml:space="preserve">8. Validacion y Testeo</t>
  </si>
  <si>
    <t xml:space="preserve">Documentar instancias de prueba y sus resultados</t>
  </si>
  <si>
    <t xml:space="preserve">Tablas de resultados</t>
  </si>
  <si>
    <t xml:space="preserve">Documentar comparacion contra el escenario base manual</t>
  </si>
  <si>
    <t xml:space="preserve">Documentar pruebas de verificacion de coherencia</t>
  </si>
  <si>
    <t xml:space="preserve">9. Anexos</t>
  </si>
  <si>
    <t xml:space="preserve">Adjuntar codigo fuente comentado</t>
  </si>
  <si>
    <t xml:space="preserve">Anexo</t>
  </si>
  <si>
    <t xml:space="preserve">Adjuntar diccionario de estructuras de datos y glosario</t>
  </si>
  <si>
    <t xml:space="preserve">Adjuntar casos de prueba con resultados conocidos</t>
  </si>
  <si>
    <t xml:space="preserve">10. Cierre</t>
  </si>
  <si>
    <t xml:space="preserve">Armar indice de anexos y controlar extension por seccion</t>
  </si>
  <si>
    <t xml:space="preserve">Documento armado</t>
  </si>
  <si>
    <t xml:space="preserve">Revision cruzada: cada integrante revisa lo que no escribio</t>
  </si>
  <si>
    <t xml:space="preserve">Checklist firmado</t>
  </si>
  <si>
    <t xml:space="preserve">Naranjo = ruta critica.  Gris = tiene holgura.  Amarillo = celda editable.</t>
  </si>
  <si>
    <t xml:space="preserve">Ninguna subtarea se marca terminada sin su artefacto.</t>
  </si>
  <si>
    <t xml:space="preserve">Carta Gantt - Informe Academico</t>
  </si>
  <si>
    <t xml:space="preserve">1. Introduccion</t>
  </si>
  <si>
    <t xml:space="preserve">Redactar descripcion general del problema con las particularidades del grupo</t>
  </si>
  <si>
    <t xml:space="preserve">Redactar objetivo general, objetivos especificos y entregables</t>
  </si>
  <si>
    <t xml:space="preserve">2. Proceso de Desarrollo</t>
  </si>
  <si>
    <t xml:space="preserve">Comparar planificacion inicial contra la ejecutada</t>
  </si>
  <si>
    <t xml:space="preserve">Seccion con la carta Gantt real</t>
  </si>
  <si>
    <t xml:space="preserve">Redactar decisiones clave, aciertos y errores</t>
  </si>
  <si>
    <t xml:space="preserve">3. Contexto y Planteamiento</t>
  </si>
  <si>
    <t xml:space="preserve">Redactar descripcion del problema y condiciones de referencia</t>
  </si>
  <si>
    <t xml:space="preserve">Documentar los KPIs definidos y por que no se limitan al resultado basico</t>
  </si>
  <si>
    <t xml:space="preserve">Tabla de KPIs justificada</t>
  </si>
  <si>
    <t xml:space="preserve">Redactar supuestos iniciales y simplificaciones, con justificacion</t>
  </si>
  <si>
    <t xml:space="preserve">4. Tratamiento de Datos</t>
  </si>
  <si>
    <t xml:space="preserve">Redactar como se convirtieron los datos originales en informacion util</t>
  </si>
  <si>
    <t xml:space="preserve">Documentar problemas encontrados: hojas ocultas, celdas inconsistentes</t>
  </si>
  <si>
    <t xml:space="preserve">Tabular parametros de proceso con rangos minimo, maximo y habitual</t>
  </si>
  <si>
    <t xml:space="preserve">Tabla de parametros</t>
  </si>
  <si>
    <t xml:space="preserve">Documentar diseno y construccion de las instancias de prueba</t>
  </si>
  <si>
    <t xml:space="preserve">Anexar el codigo del generador y los prompts usados para generarlo</t>
  </si>
  <si>
    <t xml:space="preserve">5. Modelamiento</t>
  </si>
  <si>
    <t xml:space="preserve">Redactar formulacion inicial: funcion objetivo y restricciones con proposito</t>
  </si>
  <si>
    <t xml:space="preserve">Describir variables de decision y coeficientes tecnicos</t>
  </si>
  <si>
    <t xml:space="preserve">Redactar memorias de calculo de los datos relevantes</t>
  </si>
  <si>
    <t xml:space="preserve">Redactar reflexion: que se omitio, por que, y que tan realista es el modelo</t>
  </si>
  <si>
    <t xml:space="preserve">6. Metodo de Solucion</t>
  </si>
  <si>
    <t xml:space="preserve">Documentar alternativas consideradas, como se evaluaron y por que se eligio</t>
  </si>
  <si>
    <t xml:space="preserve">Seccion con fuentes citadas</t>
  </si>
  <si>
    <t xml:space="preserve">Documentar la estrategia con pseudocodigo, diagrama y variables de diseno</t>
  </si>
  <si>
    <t xml:space="preserve">Documentar el origen del metodo: quien lo propuso y cuando</t>
  </si>
  <si>
    <t xml:space="preserve">Referencias APA 7</t>
  </si>
  <si>
    <t xml:space="preserve">Redactar aciertos y desaciertos de la implementacion</t>
  </si>
  <si>
    <t xml:space="preserve">Explicar como se controla cada restriccion en el procedimiento y el codigo</t>
  </si>
  <si>
    <t xml:space="preserve">Explicar la evolucion de complejidad del modelo y su impacto en resultados</t>
  </si>
  <si>
    <t xml:space="preserve">7. Validacion</t>
  </si>
  <si>
    <t xml:space="preserve">Documentar pruebas realizadas, sus propositos y su coherencia</t>
  </si>
  <si>
    <t xml:space="preserve">Analizar resultados extranos o inconsistentes contra las expectativas</t>
  </si>
  <si>
    <t xml:space="preserve">8. Resultados</t>
  </si>
  <si>
    <t xml:space="preserve">Reportar metricas principales contra los KPIs y las metas definidas</t>
  </si>
  <si>
    <t xml:space="preserve">Tablas y graficos</t>
  </si>
  <si>
    <t xml:space="preserve">Reportar comportamiento del sistema ante cambios de parametros</t>
  </si>
  <si>
    <t xml:space="preserve">Analisis de sensibilidad</t>
  </si>
  <si>
    <t xml:space="preserve">9. Limitaciones</t>
  </si>
  <si>
    <t xml:space="preserve">Redactar que faltó incluir y como seguiria el desarrollo</t>
  </si>
  <si>
    <t xml:space="preserve">10. Conclusiones</t>
  </si>
  <si>
    <t xml:space="preserve">Escribir aprendizajes y autoevaluacion individual de cada integrante</t>
  </si>
  <si>
    <t xml:space="preserve">5 textos individuales</t>
  </si>
  <si>
    <t xml:space="preserve">11. Cierre</t>
  </si>
  <si>
    <t xml:space="preserve">Armar referencias en APA 7 y revision cruzada final</t>
  </si>
  <si>
    <t xml:space="preserve">Carta Gantt - Pagina web y nucleo de optimizacion</t>
  </si>
  <si>
    <t xml:space="preserve">A. Decisiones tecnicas</t>
  </si>
  <si>
    <t xml:space="preserve">Elegir stack: framework web, solver y servicio de despliegue</t>
  </si>
  <si>
    <t xml:space="preserve">Decision documentada</t>
  </si>
  <si>
    <t xml:space="preserve">Definir la arquitectura de modulos y sus interfaces</t>
  </si>
  <si>
    <t xml:space="preserve">Diagrama de modulos</t>
  </si>
  <si>
    <t xml:space="preserve">B. Nucleo de optimizacion</t>
  </si>
  <si>
    <t xml:space="preserve">Implementar lectura y estructuras de datos base</t>
  </si>
  <si>
    <t xml:space="preserve">Modulo con pruebas</t>
  </si>
  <si>
    <t xml:space="preserve">Implementar el packer 2D por capa con rotacion de 90 grados</t>
  </si>
  <si>
    <t xml:space="preserve">Implementar la asignacion carga-bodega-plan</t>
  </si>
  <si>
    <t xml:space="preserve">Implementar la restriccion de no-overstowage por rotacion de puertos</t>
  </si>
  <si>
    <t xml:space="preserve">Prueba que falla si se viola</t>
  </si>
  <si>
    <t xml:space="preserve">Implementar el calculo de makespan por cuadrilla y su minimizacion</t>
  </si>
  <si>
    <t xml:space="preserve">Implementar limite de tiempo de resolucion y retorno de mejor solucion</t>
  </si>
  <si>
    <t xml:space="preserve">Parametro configurable</t>
  </si>
  <si>
    <t xml:space="preserve">Script + instancias</t>
  </si>
  <si>
    <t xml:space="preserve">Prueba de integracion temprana: esqueleto de punta a punta con salida cruda</t>
  </si>
  <si>
    <t xml:space="preserve">Script que corre de archivo a resultado</t>
  </si>
  <si>
    <t xml:space="preserve">C. Entrada de datos</t>
  </si>
  <si>
    <t xml:space="preserve">Disenar el esquema de entrada: tonelaje por bodega, destinos y productos</t>
  </si>
  <si>
    <t xml:space="preserve">Especificacion escrita</t>
  </si>
  <si>
    <t xml:space="preserve">Definir reglas de validacion y mensajes de error legibles</t>
  </si>
  <si>
    <t xml:space="preserve">Tabla de reglas</t>
  </si>
  <si>
    <t xml:space="preserve">Construir plantilla de archivo de entrada descargable</t>
  </si>
  <si>
    <t xml:space="preserve">Plantilla adjunta</t>
  </si>
  <si>
    <t xml:space="preserve">D. Interfaz</t>
  </si>
  <si>
    <t xml:space="preserve">Maquetar la pagina: carga, ejecucion y resultados</t>
  </si>
  <si>
    <t xml:space="preserve">Maqueta navegable</t>
  </si>
  <si>
    <t xml:space="preserve">Implementar carga de archivo con feedback de validacion</t>
  </si>
  <si>
    <t xml:space="preserve">Funcionalidad probada</t>
  </si>
  <si>
    <t xml:space="preserve">Implementar la vista del plan de estiba por bodega y capa</t>
  </si>
  <si>
    <t xml:space="preserve">Implementar el panel de KPIs: makespan, balance, llenado, fragmentacion</t>
  </si>
  <si>
    <t xml:space="preserve">Implementar indicador de progreso durante la resolucion</t>
  </si>
  <si>
    <t xml:space="preserve">E. Salida</t>
  </si>
  <si>
    <t xml:space="preserve">Definir la estructura de los archivos de salida</t>
  </si>
  <si>
    <t xml:space="preserve">Implementar exportacion de resultados a CSV y Excel</t>
  </si>
  <si>
    <t xml:space="preserve">F. Robustez</t>
  </si>
  <si>
    <t xml:space="preserve">Manejar casos limite: datos incompletos, instancia infactible, archivo invalido</t>
  </si>
  <si>
    <t xml:space="preserve">Bateria de pruebas</t>
  </si>
  <si>
    <t xml:space="preserve">Integrar el nucleo con la interfaz de punta a punta</t>
  </si>
  <si>
    <t xml:space="preserve">Flujo completo funcionando</t>
  </si>
  <si>
    <t xml:space="preserve">G. Entrega</t>
  </si>
  <si>
    <t xml:space="preserve">Desplegar en un hosting accesible por URL</t>
  </si>
  <si>
    <t xml:space="preserve">Enlace publico</t>
  </si>
  <si>
    <t xml:space="preserve">Probar en otro navegador y en otra maquina</t>
  </si>
  <si>
    <t xml:space="preserve">Registro de prueba</t>
  </si>
  <si>
    <t xml:space="preserve">Cargar los datos de prueba con resultados conocidos</t>
  </si>
  <si>
    <t xml:space="preserve">Caso demo en linea</t>
  </si>
  <si>
    <t xml:space="preserve">Comentar el codigo y ordenar el repositorio para entrega</t>
  </si>
  <si>
    <t xml:space="preserve">Repositorio limpio</t>
  </si>
  <si>
    <t xml:space="preserve">Congelamiento: desde aqui solo correccion de errores</t>
  </si>
  <si>
    <t xml:space="preserve">Version etiquetada</t>
  </si>
  <si>
    <t xml:space="preserve">Inf. Tecnico</t>
  </si>
  <si>
    <t xml:space="preserve">Inf. Academico</t>
  </si>
  <si>
    <t xml:space="preserve">TOTAL (debe dar 100%)</t>
  </si>
  <si>
    <t xml:space="preserve">Reparto propuesto, no una verdad. Ajustenlo: la unica regla es que cada columna sume 100%.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</si>
</sst>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;;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1F1E1C"/>
      <name val="Arial"/>
      <family val="0"/>
      <charset val="1"/>
    </font>
    <font>
      <i val="true"/>
      <sz val="10"/>
      <color rgb="FF6B6963"/>
      <name val="Arial"/>
      <family val="0"/>
      <charset val="1"/>
    </font>
    <font>
      <b val="true"/>
      <sz val="11"/>
      <color rgb="FFB0431F"/>
      <name val="Arial"/>
      <family val="0"/>
      <charset val="1"/>
    </font>
    <font>
      <b val="true"/>
      <sz val="9.5"/>
      <name val="Arial"/>
      <family val="0"/>
      <charset val="1"/>
    </font>
    <font>
      <i val="true"/>
      <sz val="9"/>
      <color rgb="FF6B6963"/>
      <name val="Arial"/>
      <family val="0"/>
      <charset val="1"/>
    </font>
    <font>
      <sz val="10"/>
      <color rgb="FF1F1E1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1EFE8"/>
        <bgColor rgb="FFFFFDE0"/>
      </patternFill>
    </fill>
    <fill>
      <patternFill patternType="solid">
        <fgColor rgb="FFFFFF00"/>
        <bgColor rgb="FFFFFF00"/>
      </patternFill>
    </fill>
    <fill>
      <patternFill patternType="solid">
        <fgColor rgb="FFFFFDE0"/>
        <bgColor rgb="FFF1EF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D8D5CC"/>
      </left>
      <right style="thin">
        <color rgb="FFD8D5CC"/>
      </right>
      <top style="thin">
        <color rgb="FFD8D5CC"/>
      </top>
      <bottom style="thin">
        <color rgb="FFD8D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1D9E75"/>
        </patternFill>
      </fill>
    </dxf>
    <dxf>
      <fill>
        <patternFill>
          <bgColor rgb="FFD85A30"/>
        </patternFill>
      </fill>
    </dxf>
    <dxf>
      <fill>
        <patternFill>
          <bgColor rgb="FF5F5E5A"/>
        </patternFill>
      </fill>
    </dxf>
  </dxfs>
  <colors>
    <indexedColors>
      <rgbColor rgb="FF000000"/>
      <rgbColor rgb="FFF1EF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5F5E5A"/>
      <rgbColor rgb="FF9999FF"/>
      <rgbColor rgb="FF993366"/>
      <rgbColor rgb="FFFFFDE0"/>
      <rgbColor rgb="FFCCFFFF"/>
      <rgbColor rgb="FF660066"/>
      <rgbColor rgb="FFFF8080"/>
      <rgbColor rgb="FF0066CC"/>
      <rgbColor rgb="FFD8D5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85A30"/>
      <rgbColor rgb="FF6B6963"/>
      <rgbColor rgb="FF969696"/>
      <rgbColor rgb="FF003366"/>
      <rgbColor rgb="FF1D9E75"/>
      <rgbColor rgb="FF003300"/>
      <rgbColor rgb="FF333300"/>
      <rgbColor rgb="FFB0431F"/>
      <rgbColor rgb="FF993366"/>
      <rgbColor rgb="FF333399"/>
      <rgbColor rgb="FF1F1E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56"/>
    <col collapsed="false" customWidth="true" hidden="false" outlineLevel="0" max="4" min="4" style="1" width="36"/>
    <col collapsed="false" customWidth="true" hidden="false" outlineLevel="0" max="5" min="5" style="1" width="11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7"/>
    <col collapsed="false" customWidth="true" hidden="false" outlineLevel="0" max="9" min="9" style="1" width="9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3" min="12" style="1" width="11"/>
    <col collapsed="false" customWidth="true" hidden="false" outlineLevel="0" max="21" min="14" style="1" width="4.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M4" s="4" t="s">
        <v>3</v>
      </c>
    </row>
    <row r="5" customFormat="false" ht="30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6" t="n">
        <v>1</v>
      </c>
      <c r="N5" s="6" t="n">
        <v>2</v>
      </c>
      <c r="O5" s="6" t="n">
        <v>3</v>
      </c>
      <c r="P5" s="6" t="n">
        <v>4</v>
      </c>
      <c r="Q5" s="6" t="n">
        <v>5</v>
      </c>
      <c r="R5" s="6" t="n">
        <v>6</v>
      </c>
      <c r="S5" s="6" t="n">
        <v>7</v>
      </c>
      <c r="T5" s="6" t="n">
        <v>8</v>
      </c>
    </row>
    <row r="6" customFormat="false" ht="15" hidden="false" customHeight="true" outlineLevel="0" collapsed="false">
      <c r="A6" s="7" t="n">
        <v>1</v>
      </c>
      <c r="B6" s="8" t="s">
        <v>16</v>
      </c>
      <c r="C6" s="9" t="s">
        <v>17</v>
      </c>
      <c r="D6" s="9" t="s">
        <v>18</v>
      </c>
      <c r="E6" s="8" t="s">
        <v>19</v>
      </c>
      <c r="F6" s="10" t="n">
        <v>1</v>
      </c>
      <c r="G6" s="10" t="n">
        <v>1</v>
      </c>
      <c r="H6" s="7" t="n">
        <f aca="false">F6+G6-1</f>
        <v>1</v>
      </c>
      <c r="I6" s="11" t="s">
        <v>20</v>
      </c>
      <c r="J6" s="12" t="n">
        <f aca="false">SUMPRODUCT(($H$6:$H$41&lt;=$H6)*Aportes!$C$2:$C$37)</f>
        <v>0.07</v>
      </c>
      <c r="K6" s="12" t="n">
        <f aca="false">SUMPRODUCT(($H$6:$H$41&lt;=$H6)*Aportes!$D$2:$D$37)</f>
        <v>0.13</v>
      </c>
      <c r="L6" s="12" t="n">
        <f aca="false">SUMPRODUCT(($H$6:$H$41&lt;=$H6)*Aportes!$E$2:$E$37)</f>
        <v>0.04</v>
      </c>
      <c r="M6" s="13" t="n">
        <f aca="false">IF(AND(M$5&gt;=$F6,M$5&lt;$F6+$G6),1,"")</f>
        <v>1</v>
      </c>
      <c r="N6" s="13" t="str">
        <f aca="false">IF(AND(N$5&gt;=$F6,N$5&lt;$F6+$G6),1,"")</f>
        <v/>
      </c>
      <c r="O6" s="13" t="str">
        <f aca="false">IF(AND(O$5&gt;=$F6,O$5&lt;$F6+$G6),1,"")</f>
        <v/>
      </c>
      <c r="P6" s="13" t="str">
        <f aca="false">IF(AND(P$5&gt;=$F6,P$5&lt;$F6+$G6),1,"")</f>
        <v/>
      </c>
      <c r="Q6" s="13" t="str">
        <f aca="false">IF(AND(Q$5&gt;=$F6,Q$5&lt;$F6+$G6),1,"")</f>
        <v/>
      </c>
      <c r="R6" s="13" t="str">
        <f aca="false">IF(AND(R$5&gt;=$F6,R$5&lt;$F6+$G6),1,"")</f>
        <v/>
      </c>
      <c r="S6" s="13" t="str">
        <f aca="false">IF(AND(S$5&gt;=$F6,S$5&lt;$F6+$G6),1,"")</f>
        <v/>
      </c>
      <c r="T6" s="13" t="str">
        <f aca="false">IF(AND(T$5&gt;=$F6,T$5&lt;$F6+$G6),1,"")</f>
        <v/>
      </c>
    </row>
    <row r="7" customFormat="false" ht="15" hidden="false" customHeight="true" outlineLevel="0" collapsed="false">
      <c r="A7" s="7" t="n">
        <v>2</v>
      </c>
      <c r="B7" s="8" t="s">
        <v>16</v>
      </c>
      <c r="C7" s="9" t="s">
        <v>21</v>
      </c>
      <c r="D7" s="9" t="s">
        <v>22</v>
      </c>
      <c r="E7" s="8" t="s">
        <v>19</v>
      </c>
      <c r="F7" s="10" t="n">
        <v>1</v>
      </c>
      <c r="G7" s="10" t="n">
        <v>1</v>
      </c>
      <c r="H7" s="7" t="n">
        <f aca="false">F7+G7-1</f>
        <v>1</v>
      </c>
      <c r="I7" s="11" t="s">
        <v>20</v>
      </c>
      <c r="J7" s="12" t="n">
        <f aca="false">SUMPRODUCT(($H$6:$H$41&lt;=$H7)*Aportes!$C$2:$C$37)</f>
        <v>0.07</v>
      </c>
      <c r="K7" s="12" t="n">
        <f aca="false">SUMPRODUCT(($H$6:$H$41&lt;=$H7)*Aportes!$D$2:$D$37)</f>
        <v>0.13</v>
      </c>
      <c r="L7" s="12" t="n">
        <f aca="false">SUMPRODUCT(($H$6:$H$41&lt;=$H7)*Aportes!$E$2:$E$37)</f>
        <v>0.04</v>
      </c>
      <c r="M7" s="13" t="n">
        <f aca="false">IF(AND(M$5&gt;=$F7,M$5&lt;$F7+$G7),1,"")</f>
        <v>1</v>
      </c>
      <c r="N7" s="13" t="str">
        <f aca="false">IF(AND(N$5&gt;=$F7,N$5&lt;$F7+$G7),1,"")</f>
        <v/>
      </c>
      <c r="O7" s="13" t="str">
        <f aca="false">IF(AND(O$5&gt;=$F7,O$5&lt;$F7+$G7),1,"")</f>
        <v/>
      </c>
      <c r="P7" s="13" t="str">
        <f aca="false">IF(AND(P$5&gt;=$F7,P$5&lt;$F7+$G7),1,"")</f>
        <v/>
      </c>
      <c r="Q7" s="13" t="str">
        <f aca="false">IF(AND(Q$5&gt;=$F7,Q$5&lt;$F7+$G7),1,"")</f>
        <v/>
      </c>
      <c r="R7" s="13" t="str">
        <f aca="false">IF(AND(R$5&gt;=$F7,R$5&lt;$F7+$G7),1,"")</f>
        <v/>
      </c>
      <c r="S7" s="13" t="str">
        <f aca="false">IF(AND(S$5&gt;=$F7,S$5&lt;$F7+$G7),1,"")</f>
        <v/>
      </c>
      <c r="T7" s="13" t="str">
        <f aca="false">IF(AND(T$5&gt;=$F7,T$5&lt;$F7+$G7),1,"")</f>
        <v/>
      </c>
    </row>
    <row r="8" customFormat="false" ht="23.25" hidden="false" customHeight="true" outlineLevel="0" collapsed="false">
      <c r="A8" s="7" t="n">
        <v>3</v>
      </c>
      <c r="B8" s="8" t="s">
        <v>16</v>
      </c>
      <c r="C8" s="9" t="s">
        <v>23</v>
      </c>
      <c r="D8" s="9" t="s">
        <v>24</v>
      </c>
      <c r="E8" s="8" t="s">
        <v>19</v>
      </c>
      <c r="F8" s="10" t="n">
        <v>1</v>
      </c>
      <c r="G8" s="10" t="n">
        <v>1</v>
      </c>
      <c r="H8" s="7" t="n">
        <f aca="false">F8+G8-1</f>
        <v>1</v>
      </c>
      <c r="I8" s="11" t="s">
        <v>20</v>
      </c>
      <c r="J8" s="12" t="n">
        <f aca="false">SUMPRODUCT(($H$6:$H$41&lt;=$H8)*Aportes!$C$2:$C$37)</f>
        <v>0.07</v>
      </c>
      <c r="K8" s="12" t="n">
        <f aca="false">SUMPRODUCT(($H$6:$H$41&lt;=$H8)*Aportes!$D$2:$D$37)</f>
        <v>0.13</v>
      </c>
      <c r="L8" s="12" t="n">
        <f aca="false">SUMPRODUCT(($H$6:$H$41&lt;=$H8)*Aportes!$E$2:$E$37)</f>
        <v>0.04</v>
      </c>
      <c r="M8" s="13" t="n">
        <f aca="false">IF(AND(M$5&gt;=$F8,M$5&lt;$F8+$G8),1,"")</f>
        <v>1</v>
      </c>
      <c r="N8" s="13" t="str">
        <f aca="false">IF(AND(N$5&gt;=$F8,N$5&lt;$F8+$G8),1,"")</f>
        <v/>
      </c>
      <c r="O8" s="13" t="str">
        <f aca="false">IF(AND(O$5&gt;=$F8,O$5&lt;$F8+$G8),1,"")</f>
        <v/>
      </c>
      <c r="P8" s="13" t="str">
        <f aca="false">IF(AND(P$5&gt;=$F8,P$5&lt;$F8+$G8),1,"")</f>
        <v/>
      </c>
      <c r="Q8" s="13" t="str">
        <f aca="false">IF(AND(Q$5&gt;=$F8,Q$5&lt;$F8+$G8),1,"")</f>
        <v/>
      </c>
      <c r="R8" s="13" t="str">
        <f aca="false">IF(AND(R$5&gt;=$F8,R$5&lt;$F8+$G8),1,"")</f>
        <v/>
      </c>
      <c r="S8" s="13" t="str">
        <f aca="false">IF(AND(S$5&gt;=$F8,S$5&lt;$F8+$G8),1,"")</f>
        <v/>
      </c>
      <c r="T8" s="13" t="str">
        <f aca="false">IF(AND(T$5&gt;=$F8,T$5&lt;$F8+$G8),1,"")</f>
        <v/>
      </c>
    </row>
    <row r="9" customFormat="false" ht="15" hidden="false" customHeight="true" outlineLevel="0" collapsed="false">
      <c r="A9" s="7" t="n">
        <v>4</v>
      </c>
      <c r="B9" s="8" t="s">
        <v>25</v>
      </c>
      <c r="C9" s="9" t="s">
        <v>26</v>
      </c>
      <c r="D9" s="9" t="s">
        <v>27</v>
      </c>
      <c r="E9" s="8" t="s">
        <v>19</v>
      </c>
      <c r="F9" s="10" t="n">
        <v>1</v>
      </c>
      <c r="G9" s="10" t="n">
        <v>1</v>
      </c>
      <c r="H9" s="7" t="n">
        <f aca="false">F9+G9-1</f>
        <v>1</v>
      </c>
      <c r="I9" s="7" t="s">
        <v>28</v>
      </c>
      <c r="J9" s="12" t="n">
        <f aca="false">SUMPRODUCT(($H$6:$H$41&lt;=$H9)*Aportes!$C$2:$C$37)</f>
        <v>0.07</v>
      </c>
      <c r="K9" s="12" t="n">
        <f aca="false">SUMPRODUCT(($H$6:$H$41&lt;=$H9)*Aportes!$D$2:$D$37)</f>
        <v>0.13</v>
      </c>
      <c r="L9" s="12" t="n">
        <f aca="false">SUMPRODUCT(($H$6:$H$41&lt;=$H9)*Aportes!$E$2:$E$37)</f>
        <v>0.04</v>
      </c>
      <c r="M9" s="13" t="n">
        <f aca="false">IF(AND(M$5&gt;=$F9,M$5&lt;$F9+$G9),1,"")</f>
        <v>1</v>
      </c>
      <c r="N9" s="13" t="str">
        <f aca="false">IF(AND(N$5&gt;=$F9,N$5&lt;$F9+$G9),1,"")</f>
        <v/>
      </c>
      <c r="O9" s="13" t="str">
        <f aca="false">IF(AND(O$5&gt;=$F9,O$5&lt;$F9+$G9),1,"")</f>
        <v/>
      </c>
      <c r="P9" s="13" t="str">
        <f aca="false">IF(AND(P$5&gt;=$F9,P$5&lt;$F9+$G9),1,"")</f>
        <v/>
      </c>
      <c r="Q9" s="13" t="str">
        <f aca="false">IF(AND(Q$5&gt;=$F9,Q$5&lt;$F9+$G9),1,"")</f>
        <v/>
      </c>
      <c r="R9" s="13" t="str">
        <f aca="false">IF(AND(R$5&gt;=$F9,R$5&lt;$F9+$G9),1,"")</f>
        <v/>
      </c>
      <c r="S9" s="13" t="str">
        <f aca="false">IF(AND(S$5&gt;=$F9,S$5&lt;$F9+$G9),1,"")</f>
        <v/>
      </c>
      <c r="T9" s="13" t="str">
        <f aca="false">IF(AND(T$5&gt;=$F9,T$5&lt;$F9+$G9),1,"")</f>
        <v/>
      </c>
    </row>
    <row r="10" customFormat="false" ht="15" hidden="false" customHeight="true" outlineLevel="0" collapsed="false">
      <c r="A10" s="7" t="n">
        <v>5</v>
      </c>
      <c r="B10" s="8" t="s">
        <v>25</v>
      </c>
      <c r="C10" s="9" t="s">
        <v>29</v>
      </c>
      <c r="D10" s="9" t="s">
        <v>30</v>
      </c>
      <c r="E10" s="8" t="s">
        <v>31</v>
      </c>
      <c r="F10" s="10" t="n">
        <v>1</v>
      </c>
      <c r="G10" s="10" t="n">
        <v>1</v>
      </c>
      <c r="H10" s="7" t="n">
        <f aca="false">F10+G10-1</f>
        <v>1</v>
      </c>
      <c r="I10" s="11" t="s">
        <v>20</v>
      </c>
      <c r="J10" s="12" t="n">
        <f aca="false">SUMPRODUCT(($H$6:$H$41&lt;=$H10)*Aportes!$C$2:$C$37)</f>
        <v>0.07</v>
      </c>
      <c r="K10" s="12" t="n">
        <f aca="false">SUMPRODUCT(($H$6:$H$41&lt;=$H10)*Aportes!$D$2:$D$37)</f>
        <v>0.13</v>
      </c>
      <c r="L10" s="12" t="n">
        <f aca="false">SUMPRODUCT(($H$6:$H$41&lt;=$H10)*Aportes!$E$2:$E$37)</f>
        <v>0.04</v>
      </c>
      <c r="M10" s="13" t="n">
        <f aca="false">IF(AND(M$5&gt;=$F10,M$5&lt;$F10+$G10),1,"")</f>
        <v>1</v>
      </c>
      <c r="N10" s="13" t="str">
        <f aca="false">IF(AND(N$5&gt;=$F10,N$5&lt;$F10+$G10),1,"")</f>
        <v/>
      </c>
      <c r="O10" s="13" t="str">
        <f aca="false">IF(AND(O$5&gt;=$F10,O$5&lt;$F10+$G10),1,"")</f>
        <v/>
      </c>
      <c r="P10" s="13" t="str">
        <f aca="false">IF(AND(P$5&gt;=$F10,P$5&lt;$F10+$G10),1,"")</f>
        <v/>
      </c>
      <c r="Q10" s="13" t="str">
        <f aca="false">IF(AND(Q$5&gt;=$F10,Q$5&lt;$F10+$G10),1,"")</f>
        <v/>
      </c>
      <c r="R10" s="13" t="str">
        <f aca="false">IF(AND(R$5&gt;=$F10,R$5&lt;$F10+$G10),1,"")</f>
        <v/>
      </c>
      <c r="S10" s="13" t="str">
        <f aca="false">IF(AND(S$5&gt;=$F10,S$5&lt;$F10+$G10),1,"")</f>
        <v/>
      </c>
      <c r="T10" s="13" t="str">
        <f aca="false">IF(AND(T$5&gt;=$F10,T$5&lt;$F10+$G10),1,"")</f>
        <v/>
      </c>
    </row>
    <row r="11" customFormat="false" ht="23.25" hidden="false" customHeight="true" outlineLevel="0" collapsed="false">
      <c r="A11" s="7" t="n">
        <v>6</v>
      </c>
      <c r="B11" s="8" t="s">
        <v>25</v>
      </c>
      <c r="C11" s="9" t="s">
        <v>32</v>
      </c>
      <c r="D11" s="9" t="s">
        <v>33</v>
      </c>
      <c r="E11" s="8" t="s">
        <v>31</v>
      </c>
      <c r="F11" s="10" t="n">
        <v>1</v>
      </c>
      <c r="G11" s="10" t="n">
        <v>2</v>
      </c>
      <c r="H11" s="7" t="n">
        <f aca="false">F11+G11-1</f>
        <v>2</v>
      </c>
      <c r="I11" s="11" t="s">
        <v>20</v>
      </c>
      <c r="J11" s="12" t="n">
        <f aca="false">SUMPRODUCT(($H$6:$H$41&lt;=$H11)*Aportes!$C$2:$C$37)</f>
        <v>0.31</v>
      </c>
      <c r="K11" s="12" t="n">
        <f aca="false">SUMPRODUCT(($H$6:$H$41&lt;=$H11)*Aportes!$D$2:$D$37)</f>
        <v>0.53</v>
      </c>
      <c r="L11" s="12" t="n">
        <f aca="false">SUMPRODUCT(($H$6:$H$41&lt;=$H11)*Aportes!$E$2:$E$37)</f>
        <v>0.14</v>
      </c>
      <c r="M11" s="13" t="n">
        <f aca="false">IF(AND(M$5&gt;=$F11,M$5&lt;$F11+$G11),1,"")</f>
        <v>1</v>
      </c>
      <c r="N11" s="13" t="n">
        <f aca="false">IF(AND(N$5&gt;=$F11,N$5&lt;$F11+$G11),1,"")</f>
        <v>1</v>
      </c>
      <c r="O11" s="13" t="str">
        <f aca="false">IF(AND(O$5&gt;=$F11,O$5&lt;$F11+$G11),1,"")</f>
        <v/>
      </c>
      <c r="P11" s="13" t="str">
        <f aca="false">IF(AND(P$5&gt;=$F11,P$5&lt;$F11+$G11),1,"")</f>
        <v/>
      </c>
      <c r="Q11" s="13" t="str">
        <f aca="false">IF(AND(Q$5&gt;=$F11,Q$5&lt;$F11+$G11),1,"")</f>
        <v/>
      </c>
      <c r="R11" s="13" t="str">
        <f aca="false">IF(AND(R$5&gt;=$F11,R$5&lt;$F11+$G11),1,"")</f>
        <v/>
      </c>
      <c r="S11" s="13" t="str">
        <f aca="false">IF(AND(S$5&gt;=$F11,S$5&lt;$F11+$G11),1,"")</f>
        <v/>
      </c>
      <c r="T11" s="13" t="str">
        <f aca="false">IF(AND(T$5&gt;=$F11,T$5&lt;$F11+$G11),1,"")</f>
        <v/>
      </c>
    </row>
    <row r="12" customFormat="false" ht="15" hidden="false" customHeight="true" outlineLevel="0" collapsed="false">
      <c r="A12" s="7" t="n">
        <v>7</v>
      </c>
      <c r="B12" s="8" t="s">
        <v>25</v>
      </c>
      <c r="C12" s="9" t="s">
        <v>34</v>
      </c>
      <c r="D12" s="9" t="s">
        <v>35</v>
      </c>
      <c r="E12" s="8" t="s">
        <v>36</v>
      </c>
      <c r="F12" s="10" t="n">
        <v>2</v>
      </c>
      <c r="G12" s="10" t="n">
        <v>1</v>
      </c>
      <c r="H12" s="7" t="n">
        <f aca="false">F12+G12-1</f>
        <v>2</v>
      </c>
      <c r="I12" s="7" t="s">
        <v>28</v>
      </c>
      <c r="J12" s="12" t="n">
        <f aca="false">SUMPRODUCT(($H$6:$H$41&lt;=$H12)*Aportes!$C$2:$C$37)</f>
        <v>0.31</v>
      </c>
      <c r="K12" s="12" t="n">
        <f aca="false">SUMPRODUCT(($H$6:$H$41&lt;=$H12)*Aportes!$D$2:$D$37)</f>
        <v>0.53</v>
      </c>
      <c r="L12" s="12" t="n">
        <f aca="false">SUMPRODUCT(($H$6:$H$41&lt;=$H12)*Aportes!$E$2:$E$37)</f>
        <v>0.14</v>
      </c>
      <c r="M12" s="13" t="str">
        <f aca="false">IF(AND(M$5&gt;=$F12,M$5&lt;$F12+$G12),1,"")</f>
        <v/>
      </c>
      <c r="N12" s="13" t="n">
        <f aca="false">IF(AND(N$5&gt;=$F12,N$5&lt;$F12+$G12),1,"")</f>
        <v>1</v>
      </c>
      <c r="O12" s="13" t="str">
        <f aca="false">IF(AND(O$5&gt;=$F12,O$5&lt;$F12+$G12),1,"")</f>
        <v/>
      </c>
      <c r="P12" s="13" t="str">
        <f aca="false">IF(AND(P$5&gt;=$F12,P$5&lt;$F12+$G12),1,"")</f>
        <v/>
      </c>
      <c r="Q12" s="13" t="str">
        <f aca="false">IF(AND(Q$5&gt;=$F12,Q$5&lt;$F12+$G12),1,"")</f>
        <v/>
      </c>
      <c r="R12" s="13" t="str">
        <f aca="false">IF(AND(R$5&gt;=$F12,R$5&lt;$F12+$G12),1,"")</f>
        <v/>
      </c>
      <c r="S12" s="13" t="str">
        <f aca="false">IF(AND(S$5&gt;=$F12,S$5&lt;$F12+$G12),1,"")</f>
        <v/>
      </c>
      <c r="T12" s="13" t="str">
        <f aca="false">IF(AND(T$5&gt;=$F12,T$5&lt;$F12+$G12),1,"")</f>
        <v/>
      </c>
    </row>
    <row r="13" customFormat="false" ht="15" hidden="false" customHeight="true" outlineLevel="0" collapsed="false">
      <c r="A13" s="7" t="n">
        <v>8</v>
      </c>
      <c r="B13" s="8" t="s">
        <v>25</v>
      </c>
      <c r="C13" s="9" t="s">
        <v>37</v>
      </c>
      <c r="D13" s="9" t="s">
        <v>38</v>
      </c>
      <c r="E13" s="8" t="s">
        <v>39</v>
      </c>
      <c r="F13" s="10" t="n">
        <v>2</v>
      </c>
      <c r="G13" s="10" t="n">
        <v>1</v>
      </c>
      <c r="H13" s="7" t="n">
        <f aca="false">F13+G13-1</f>
        <v>2</v>
      </c>
      <c r="I13" s="7" t="s">
        <v>28</v>
      </c>
      <c r="J13" s="12" t="n">
        <f aca="false">SUMPRODUCT(($H$6:$H$41&lt;=$H13)*Aportes!$C$2:$C$37)</f>
        <v>0.31</v>
      </c>
      <c r="K13" s="12" t="n">
        <f aca="false">SUMPRODUCT(($H$6:$H$41&lt;=$H13)*Aportes!$D$2:$D$37)</f>
        <v>0.53</v>
      </c>
      <c r="L13" s="12" t="n">
        <f aca="false">SUMPRODUCT(($H$6:$H$41&lt;=$H13)*Aportes!$E$2:$E$37)</f>
        <v>0.14</v>
      </c>
      <c r="M13" s="13" t="str">
        <f aca="false">IF(AND(M$5&gt;=$F13,M$5&lt;$F13+$G13),1,"")</f>
        <v/>
      </c>
      <c r="N13" s="13" t="n">
        <f aca="false">IF(AND(N$5&gt;=$F13,N$5&lt;$F13+$G13),1,"")</f>
        <v>1</v>
      </c>
      <c r="O13" s="13" t="str">
        <f aca="false">IF(AND(O$5&gt;=$F13,O$5&lt;$F13+$G13),1,"")</f>
        <v/>
      </c>
      <c r="P13" s="13" t="str">
        <f aca="false">IF(AND(P$5&gt;=$F13,P$5&lt;$F13+$G13),1,"")</f>
        <v/>
      </c>
      <c r="Q13" s="13" t="str">
        <f aca="false">IF(AND(Q$5&gt;=$F13,Q$5&lt;$F13+$G13),1,"")</f>
        <v/>
      </c>
      <c r="R13" s="13" t="str">
        <f aca="false">IF(AND(R$5&gt;=$F13,R$5&lt;$F13+$G13),1,"")</f>
        <v/>
      </c>
      <c r="S13" s="13" t="str">
        <f aca="false">IF(AND(S$5&gt;=$F13,S$5&lt;$F13+$G13),1,"")</f>
        <v/>
      </c>
      <c r="T13" s="13" t="str">
        <f aca="false">IF(AND(T$5&gt;=$F13,T$5&lt;$F13+$G13),1,"")</f>
        <v/>
      </c>
    </row>
    <row r="14" customFormat="false" ht="15" hidden="false" customHeight="true" outlineLevel="0" collapsed="false">
      <c r="A14" s="7" t="n">
        <v>9</v>
      </c>
      <c r="B14" s="8" t="s">
        <v>40</v>
      </c>
      <c r="C14" s="9" t="s">
        <v>41</v>
      </c>
      <c r="D14" s="9" t="s">
        <v>42</v>
      </c>
      <c r="E14" s="8" t="s">
        <v>19</v>
      </c>
      <c r="F14" s="10" t="n">
        <v>1</v>
      </c>
      <c r="G14" s="10" t="n">
        <v>2</v>
      </c>
      <c r="H14" s="7" t="n">
        <f aca="false">F14+G14-1</f>
        <v>2</v>
      </c>
      <c r="I14" s="7" t="s">
        <v>28</v>
      </c>
      <c r="J14" s="12" t="n">
        <f aca="false">SUMPRODUCT(($H$6:$H$41&lt;=$H14)*Aportes!$C$2:$C$37)</f>
        <v>0.31</v>
      </c>
      <c r="K14" s="12" t="n">
        <f aca="false">SUMPRODUCT(($H$6:$H$41&lt;=$H14)*Aportes!$D$2:$D$37)</f>
        <v>0.53</v>
      </c>
      <c r="L14" s="12" t="n">
        <f aca="false">SUMPRODUCT(($H$6:$H$41&lt;=$H14)*Aportes!$E$2:$E$37)</f>
        <v>0.14</v>
      </c>
      <c r="M14" s="13" t="n">
        <f aca="false">IF(AND(M$5&gt;=$F14,M$5&lt;$F14+$G14),1,"")</f>
        <v>1</v>
      </c>
      <c r="N14" s="13" t="n">
        <f aca="false">IF(AND(N$5&gt;=$F14,N$5&lt;$F14+$G14),1,"")</f>
        <v>1</v>
      </c>
      <c r="O14" s="13" t="str">
        <f aca="false">IF(AND(O$5&gt;=$F14,O$5&lt;$F14+$G14),1,"")</f>
        <v/>
      </c>
      <c r="P14" s="13" t="str">
        <f aca="false">IF(AND(P$5&gt;=$F14,P$5&lt;$F14+$G14),1,"")</f>
        <v/>
      </c>
      <c r="Q14" s="13" t="str">
        <f aca="false">IF(AND(Q$5&gt;=$F14,Q$5&lt;$F14+$G14),1,"")</f>
        <v/>
      </c>
      <c r="R14" s="13" t="str">
        <f aca="false">IF(AND(R$5&gt;=$F14,R$5&lt;$F14+$G14),1,"")</f>
        <v/>
      </c>
      <c r="S14" s="13" t="str">
        <f aca="false">IF(AND(S$5&gt;=$F14,S$5&lt;$F14+$G14),1,"")</f>
        <v/>
      </c>
      <c r="T14" s="13" t="str">
        <f aca="false">IF(AND(T$5&gt;=$F14,T$5&lt;$F14+$G14),1,"")</f>
        <v/>
      </c>
    </row>
    <row r="15" customFormat="false" ht="23.25" hidden="false" customHeight="true" outlineLevel="0" collapsed="false">
      <c r="A15" s="7" t="n">
        <v>10</v>
      </c>
      <c r="B15" s="8" t="s">
        <v>40</v>
      </c>
      <c r="C15" s="9" t="s">
        <v>43</v>
      </c>
      <c r="D15" s="9" t="s">
        <v>44</v>
      </c>
      <c r="E15" s="8" t="s">
        <v>45</v>
      </c>
      <c r="F15" s="10" t="n">
        <v>2</v>
      </c>
      <c r="G15" s="10" t="n">
        <v>1</v>
      </c>
      <c r="H15" s="7" t="n">
        <f aca="false">F15+G15-1</f>
        <v>2</v>
      </c>
      <c r="I15" s="7" t="s">
        <v>28</v>
      </c>
      <c r="J15" s="12" t="n">
        <f aca="false">SUMPRODUCT(($H$6:$H$41&lt;=$H15)*Aportes!$C$2:$C$37)</f>
        <v>0.31</v>
      </c>
      <c r="K15" s="12" t="n">
        <f aca="false">SUMPRODUCT(($H$6:$H$41&lt;=$H15)*Aportes!$D$2:$D$37)</f>
        <v>0.53</v>
      </c>
      <c r="L15" s="12" t="n">
        <f aca="false">SUMPRODUCT(($H$6:$H$41&lt;=$H15)*Aportes!$E$2:$E$37)</f>
        <v>0.14</v>
      </c>
      <c r="M15" s="13" t="str">
        <f aca="false">IF(AND(M$5&gt;=$F15,M$5&lt;$F15+$G15),1,"")</f>
        <v/>
      </c>
      <c r="N15" s="13" t="n">
        <f aca="false">IF(AND(N$5&gt;=$F15,N$5&lt;$F15+$G15),1,"")</f>
        <v>1</v>
      </c>
      <c r="O15" s="13" t="str">
        <f aca="false">IF(AND(O$5&gt;=$F15,O$5&lt;$F15+$G15),1,"")</f>
        <v/>
      </c>
      <c r="P15" s="13" t="str">
        <f aca="false">IF(AND(P$5&gt;=$F15,P$5&lt;$F15+$G15),1,"")</f>
        <v/>
      </c>
      <c r="Q15" s="13" t="str">
        <f aca="false">IF(AND(Q$5&gt;=$F15,Q$5&lt;$F15+$G15),1,"")</f>
        <v/>
      </c>
      <c r="R15" s="13" t="str">
        <f aca="false">IF(AND(R$5&gt;=$F15,R$5&lt;$F15+$G15),1,"")</f>
        <v/>
      </c>
      <c r="S15" s="13" t="str">
        <f aca="false">IF(AND(S$5&gt;=$F15,S$5&lt;$F15+$G15),1,"")</f>
        <v/>
      </c>
      <c r="T15" s="13" t="str">
        <f aca="false">IF(AND(T$5&gt;=$F15,T$5&lt;$F15+$G15),1,"")</f>
        <v/>
      </c>
    </row>
    <row r="16" customFormat="false" ht="15" hidden="false" customHeight="true" outlineLevel="0" collapsed="false">
      <c r="A16" s="7" t="n">
        <v>11</v>
      </c>
      <c r="B16" s="8" t="s">
        <v>40</v>
      </c>
      <c r="C16" s="9" t="s">
        <v>46</v>
      </c>
      <c r="D16" s="9" t="s">
        <v>47</v>
      </c>
      <c r="E16" s="8" t="s">
        <v>48</v>
      </c>
      <c r="F16" s="10" t="n">
        <v>2</v>
      </c>
      <c r="G16" s="10" t="n">
        <v>1</v>
      </c>
      <c r="H16" s="7" t="n">
        <f aca="false">F16+G16-1</f>
        <v>2</v>
      </c>
      <c r="I16" s="11" t="s">
        <v>20</v>
      </c>
      <c r="J16" s="12" t="n">
        <f aca="false">SUMPRODUCT(($H$6:$H$41&lt;=$H16)*Aportes!$C$2:$C$37)</f>
        <v>0.31</v>
      </c>
      <c r="K16" s="12" t="n">
        <f aca="false">SUMPRODUCT(($H$6:$H$41&lt;=$H16)*Aportes!$D$2:$D$37)</f>
        <v>0.53</v>
      </c>
      <c r="L16" s="12" t="n">
        <f aca="false">SUMPRODUCT(($H$6:$H$41&lt;=$H16)*Aportes!$E$2:$E$37)</f>
        <v>0.14</v>
      </c>
      <c r="M16" s="13" t="str">
        <f aca="false">IF(AND(M$5&gt;=$F16,M$5&lt;$F16+$G16),1,"")</f>
        <v/>
      </c>
      <c r="N16" s="13" t="n">
        <f aca="false">IF(AND(N$5&gt;=$F16,N$5&lt;$F16+$G16),1,"")</f>
        <v>1</v>
      </c>
      <c r="O16" s="13" t="str">
        <f aca="false">IF(AND(O$5&gt;=$F16,O$5&lt;$F16+$G16),1,"")</f>
        <v/>
      </c>
      <c r="P16" s="13" t="str">
        <f aca="false">IF(AND(P$5&gt;=$F16,P$5&lt;$F16+$G16),1,"")</f>
        <v/>
      </c>
      <c r="Q16" s="13" t="str">
        <f aca="false">IF(AND(Q$5&gt;=$F16,Q$5&lt;$F16+$G16),1,"")</f>
        <v/>
      </c>
      <c r="R16" s="13" t="str">
        <f aca="false">IF(AND(R$5&gt;=$F16,R$5&lt;$F16+$G16),1,"")</f>
        <v/>
      </c>
      <c r="S16" s="13" t="str">
        <f aca="false">IF(AND(S$5&gt;=$F16,S$5&lt;$F16+$G16),1,"")</f>
        <v/>
      </c>
      <c r="T16" s="13" t="str">
        <f aca="false">IF(AND(T$5&gt;=$F16,T$5&lt;$F16+$G16),1,"")</f>
        <v/>
      </c>
    </row>
    <row r="17" customFormat="false" ht="23.25" hidden="false" customHeight="true" outlineLevel="0" collapsed="false">
      <c r="A17" s="7" t="n">
        <v>12</v>
      </c>
      <c r="B17" s="8" t="s">
        <v>49</v>
      </c>
      <c r="C17" s="9" t="s">
        <v>50</v>
      </c>
      <c r="D17" s="9" t="s">
        <v>51</v>
      </c>
      <c r="E17" s="8" t="s">
        <v>52</v>
      </c>
      <c r="F17" s="10" t="n">
        <v>2</v>
      </c>
      <c r="G17" s="10" t="n">
        <v>1</v>
      </c>
      <c r="H17" s="7" t="n">
        <f aca="false">F17+G17-1</f>
        <v>2</v>
      </c>
      <c r="I17" s="11" t="s">
        <v>20</v>
      </c>
      <c r="J17" s="12" t="n">
        <f aca="false">SUMPRODUCT(($H$6:$H$41&lt;=$H17)*Aportes!$C$2:$C$37)</f>
        <v>0.31</v>
      </c>
      <c r="K17" s="12" t="n">
        <f aca="false">SUMPRODUCT(($H$6:$H$41&lt;=$H17)*Aportes!$D$2:$D$37)</f>
        <v>0.53</v>
      </c>
      <c r="L17" s="12" t="n">
        <f aca="false">SUMPRODUCT(($H$6:$H$41&lt;=$H17)*Aportes!$E$2:$E$37)</f>
        <v>0.14</v>
      </c>
      <c r="M17" s="13" t="str">
        <f aca="false">IF(AND(M$5&gt;=$F17,M$5&lt;$F17+$G17),1,"")</f>
        <v/>
      </c>
      <c r="N17" s="13" t="n">
        <f aca="false">IF(AND(N$5&gt;=$F17,N$5&lt;$F17+$G17),1,"")</f>
        <v>1</v>
      </c>
      <c r="O17" s="13" t="str">
        <f aca="false">IF(AND(O$5&gt;=$F17,O$5&lt;$F17+$G17),1,"")</f>
        <v/>
      </c>
      <c r="P17" s="13" t="str">
        <f aca="false">IF(AND(P$5&gt;=$F17,P$5&lt;$F17+$G17),1,"")</f>
        <v/>
      </c>
      <c r="Q17" s="13" t="str">
        <f aca="false">IF(AND(Q$5&gt;=$F17,Q$5&lt;$F17+$G17),1,"")</f>
        <v/>
      </c>
      <c r="R17" s="13" t="str">
        <f aca="false">IF(AND(R$5&gt;=$F17,R$5&lt;$F17+$G17),1,"")</f>
        <v/>
      </c>
      <c r="S17" s="13" t="str">
        <f aca="false">IF(AND(S$5&gt;=$F17,S$5&lt;$F17+$G17),1,"")</f>
        <v/>
      </c>
      <c r="T17" s="13" t="str">
        <f aca="false">IF(AND(T$5&gt;=$F17,T$5&lt;$F17+$G17),1,"")</f>
        <v/>
      </c>
    </row>
    <row r="18" customFormat="false" ht="15" hidden="false" customHeight="true" outlineLevel="0" collapsed="false">
      <c r="A18" s="7" t="n">
        <v>13</v>
      </c>
      <c r="B18" s="8" t="s">
        <v>49</v>
      </c>
      <c r="C18" s="9" t="s">
        <v>53</v>
      </c>
      <c r="D18" s="9" t="s">
        <v>54</v>
      </c>
      <c r="E18" s="8" t="s">
        <v>55</v>
      </c>
      <c r="F18" s="10" t="n">
        <v>2</v>
      </c>
      <c r="G18" s="10" t="n">
        <v>1</v>
      </c>
      <c r="H18" s="7" t="n">
        <f aca="false">F18+G18-1</f>
        <v>2</v>
      </c>
      <c r="I18" s="7" t="s">
        <v>28</v>
      </c>
      <c r="J18" s="12" t="n">
        <f aca="false">SUMPRODUCT(($H$6:$H$41&lt;=$H18)*Aportes!$C$2:$C$37)</f>
        <v>0.31</v>
      </c>
      <c r="K18" s="12" t="n">
        <f aca="false">SUMPRODUCT(($H$6:$H$41&lt;=$H18)*Aportes!$D$2:$D$37)</f>
        <v>0.53</v>
      </c>
      <c r="L18" s="12" t="n">
        <f aca="false">SUMPRODUCT(($H$6:$H$41&lt;=$H18)*Aportes!$E$2:$E$37)</f>
        <v>0.14</v>
      </c>
      <c r="M18" s="13" t="str">
        <f aca="false">IF(AND(M$5&gt;=$F18,M$5&lt;$F18+$G18),1,"")</f>
        <v/>
      </c>
      <c r="N18" s="13" t="n">
        <f aca="false">IF(AND(N$5&gt;=$F18,N$5&lt;$F18+$G18),1,"")</f>
        <v>1</v>
      </c>
      <c r="O18" s="13" t="str">
        <f aca="false">IF(AND(O$5&gt;=$F18,O$5&lt;$F18+$G18),1,"")</f>
        <v/>
      </c>
      <c r="P18" s="13" t="str">
        <f aca="false">IF(AND(P$5&gt;=$F18,P$5&lt;$F18+$G18),1,"")</f>
        <v/>
      </c>
      <c r="Q18" s="13" t="str">
        <f aca="false">IF(AND(Q$5&gt;=$F18,Q$5&lt;$F18+$G18),1,"")</f>
        <v/>
      </c>
      <c r="R18" s="13" t="str">
        <f aca="false">IF(AND(R$5&gt;=$F18,R$5&lt;$F18+$G18),1,"")</f>
        <v/>
      </c>
      <c r="S18" s="13" t="str">
        <f aca="false">IF(AND(S$5&gt;=$F18,S$5&lt;$F18+$G18),1,"")</f>
        <v/>
      </c>
      <c r="T18" s="13" t="str">
        <f aca="false">IF(AND(T$5&gt;=$F18,T$5&lt;$F18+$G18),1,"")</f>
        <v/>
      </c>
    </row>
    <row r="19" customFormat="false" ht="15" hidden="false" customHeight="true" outlineLevel="0" collapsed="false">
      <c r="A19" s="7" t="n">
        <v>14</v>
      </c>
      <c r="B19" s="8" t="s">
        <v>49</v>
      </c>
      <c r="C19" s="9" t="s">
        <v>56</v>
      </c>
      <c r="D19" s="9" t="s">
        <v>57</v>
      </c>
      <c r="E19" s="8" t="s">
        <v>58</v>
      </c>
      <c r="F19" s="10" t="n">
        <v>2</v>
      </c>
      <c r="G19" s="10" t="n">
        <v>2</v>
      </c>
      <c r="H19" s="7" t="n">
        <f aca="false">F19+G19-1</f>
        <v>3</v>
      </c>
      <c r="I19" s="11" t="s">
        <v>20</v>
      </c>
      <c r="J19" s="12" t="n">
        <f aca="false">SUMPRODUCT(($H$6:$H$41&lt;=$H19)*Aportes!$C$2:$C$37)</f>
        <v>0.41</v>
      </c>
      <c r="K19" s="12" t="n">
        <f aca="false">SUMPRODUCT(($H$6:$H$41&lt;=$H19)*Aportes!$D$2:$D$37)</f>
        <v>0.63</v>
      </c>
      <c r="L19" s="12" t="n">
        <f aca="false">SUMPRODUCT(($H$6:$H$41&lt;=$H19)*Aportes!$E$2:$E$37)</f>
        <v>0.2</v>
      </c>
      <c r="M19" s="13" t="str">
        <f aca="false">IF(AND(M$5&gt;=$F19,M$5&lt;$F19+$G19),1,"")</f>
        <v/>
      </c>
      <c r="N19" s="13" t="n">
        <f aca="false">IF(AND(N$5&gt;=$F19,N$5&lt;$F19+$G19),1,"")</f>
        <v>1</v>
      </c>
      <c r="O19" s="13" t="n">
        <f aca="false">IF(AND(O$5&gt;=$F19,O$5&lt;$F19+$G19),1,"")</f>
        <v>1</v>
      </c>
      <c r="P19" s="13" t="str">
        <f aca="false">IF(AND(P$5&gt;=$F19,P$5&lt;$F19+$G19),1,"")</f>
        <v/>
      </c>
      <c r="Q19" s="13" t="str">
        <f aca="false">IF(AND(Q$5&gt;=$F19,Q$5&lt;$F19+$G19),1,"")</f>
        <v/>
      </c>
      <c r="R19" s="13" t="str">
        <f aca="false">IF(AND(R$5&gt;=$F19,R$5&lt;$F19+$G19),1,"")</f>
        <v/>
      </c>
      <c r="S19" s="13" t="str">
        <f aca="false">IF(AND(S$5&gt;=$F19,S$5&lt;$F19+$G19),1,"")</f>
        <v/>
      </c>
      <c r="T19" s="13" t="str">
        <f aca="false">IF(AND(T$5&gt;=$F19,T$5&lt;$F19+$G19),1,"")</f>
        <v/>
      </c>
    </row>
    <row r="20" customFormat="false" ht="15" hidden="false" customHeight="true" outlineLevel="0" collapsed="false">
      <c r="A20" s="7" t="n">
        <v>15</v>
      </c>
      <c r="B20" s="8" t="s">
        <v>59</v>
      </c>
      <c r="C20" s="9" t="s">
        <v>60</v>
      </c>
      <c r="D20" s="9" t="s">
        <v>61</v>
      </c>
      <c r="E20" s="8" t="s">
        <v>62</v>
      </c>
      <c r="F20" s="10" t="n">
        <v>3</v>
      </c>
      <c r="G20" s="10" t="n">
        <v>2</v>
      </c>
      <c r="H20" s="7" t="n">
        <f aca="false">F20+G20-1</f>
        <v>4</v>
      </c>
      <c r="I20" s="7" t="s">
        <v>28</v>
      </c>
      <c r="J20" s="12" t="n">
        <f aca="false">SUMPRODUCT(($H$6:$H$41&lt;=$H20)*Aportes!$C$2:$C$37)</f>
        <v>0.57</v>
      </c>
      <c r="K20" s="12" t="n">
        <f aca="false">SUMPRODUCT(($H$6:$H$41&lt;=$H20)*Aportes!$D$2:$D$37)</f>
        <v>0.69</v>
      </c>
      <c r="L20" s="12" t="n">
        <f aca="false">SUMPRODUCT(($H$6:$H$41&lt;=$H20)*Aportes!$E$2:$E$37)</f>
        <v>0.56</v>
      </c>
      <c r="M20" s="13" t="str">
        <f aca="false">IF(AND(M$5&gt;=$F20,M$5&lt;$F20+$G20),1,"")</f>
        <v/>
      </c>
      <c r="N20" s="13" t="str">
        <f aca="false">IF(AND(N$5&gt;=$F20,N$5&lt;$F20+$G20),1,"")</f>
        <v/>
      </c>
      <c r="O20" s="13" t="n">
        <f aca="false">IF(AND(O$5&gt;=$F20,O$5&lt;$F20+$G20),1,"")</f>
        <v>1</v>
      </c>
      <c r="P20" s="13" t="n">
        <f aca="false">IF(AND(P$5&gt;=$F20,P$5&lt;$F20+$G20),1,"")</f>
        <v>1</v>
      </c>
      <c r="Q20" s="13" t="str">
        <f aca="false">IF(AND(Q$5&gt;=$F20,Q$5&lt;$F20+$G20),1,"")</f>
        <v/>
      </c>
      <c r="R20" s="13" t="str">
        <f aca="false">IF(AND(R$5&gt;=$F20,R$5&lt;$F20+$G20),1,"")</f>
        <v/>
      </c>
      <c r="S20" s="13" t="str">
        <f aca="false">IF(AND(S$5&gt;=$F20,S$5&lt;$F20+$G20),1,"")</f>
        <v/>
      </c>
      <c r="T20" s="13" t="str">
        <f aca="false">IF(AND(T$5&gt;=$F20,T$5&lt;$F20+$G20),1,"")</f>
        <v/>
      </c>
    </row>
    <row r="21" customFormat="false" ht="15" hidden="false" customHeight="true" outlineLevel="0" collapsed="false">
      <c r="A21" s="7" t="n">
        <v>16</v>
      </c>
      <c r="B21" s="8" t="s">
        <v>59</v>
      </c>
      <c r="C21" s="9" t="s">
        <v>63</v>
      </c>
      <c r="D21" s="9" t="s">
        <v>64</v>
      </c>
      <c r="E21" s="8" t="s">
        <v>65</v>
      </c>
      <c r="F21" s="10" t="n">
        <v>3</v>
      </c>
      <c r="G21" s="10" t="n">
        <v>2</v>
      </c>
      <c r="H21" s="7" t="n">
        <f aca="false">F21+G21-1</f>
        <v>4</v>
      </c>
      <c r="I21" s="11" t="s">
        <v>20</v>
      </c>
      <c r="J21" s="12" t="n">
        <f aca="false">SUMPRODUCT(($H$6:$H$41&lt;=$H21)*Aportes!$C$2:$C$37)</f>
        <v>0.57</v>
      </c>
      <c r="K21" s="12" t="n">
        <f aca="false">SUMPRODUCT(($H$6:$H$41&lt;=$H21)*Aportes!$D$2:$D$37)</f>
        <v>0.69</v>
      </c>
      <c r="L21" s="12" t="n">
        <f aca="false">SUMPRODUCT(($H$6:$H$41&lt;=$H21)*Aportes!$E$2:$E$37)</f>
        <v>0.56</v>
      </c>
      <c r="M21" s="13" t="str">
        <f aca="false">IF(AND(M$5&gt;=$F21,M$5&lt;$F21+$G21),1,"")</f>
        <v/>
      </c>
      <c r="N21" s="13" t="str">
        <f aca="false">IF(AND(N$5&gt;=$F21,N$5&lt;$F21+$G21),1,"")</f>
        <v/>
      </c>
      <c r="O21" s="13" t="n">
        <f aca="false">IF(AND(O$5&gt;=$F21,O$5&lt;$F21+$G21),1,"")</f>
        <v>1</v>
      </c>
      <c r="P21" s="13" t="n">
        <f aca="false">IF(AND(P$5&gt;=$F21,P$5&lt;$F21+$G21),1,"")</f>
        <v>1</v>
      </c>
      <c r="Q21" s="13" t="str">
        <f aca="false">IF(AND(Q$5&gt;=$F21,Q$5&lt;$F21+$G21),1,"")</f>
        <v/>
      </c>
      <c r="R21" s="13" t="str">
        <f aca="false">IF(AND(R$5&gt;=$F21,R$5&lt;$F21+$G21),1,"")</f>
        <v/>
      </c>
      <c r="S21" s="13" t="str">
        <f aca="false">IF(AND(S$5&gt;=$F21,S$5&lt;$F21+$G21),1,"")</f>
        <v/>
      </c>
      <c r="T21" s="13" t="str">
        <f aca="false">IF(AND(T$5&gt;=$F21,T$5&lt;$F21+$G21),1,"")</f>
        <v/>
      </c>
    </row>
    <row r="22" customFormat="false" ht="15" hidden="false" customHeight="true" outlineLevel="0" collapsed="false">
      <c r="A22" s="7" t="n">
        <v>17</v>
      </c>
      <c r="B22" s="8" t="s">
        <v>59</v>
      </c>
      <c r="C22" s="9" t="s">
        <v>66</v>
      </c>
      <c r="D22" s="9" t="s">
        <v>67</v>
      </c>
      <c r="E22" s="8" t="s">
        <v>68</v>
      </c>
      <c r="F22" s="10" t="n">
        <v>4</v>
      </c>
      <c r="G22" s="10" t="n">
        <v>2</v>
      </c>
      <c r="H22" s="7" t="n">
        <f aca="false">F22+G22-1</f>
        <v>5</v>
      </c>
      <c r="I22" s="11" t="s">
        <v>20</v>
      </c>
      <c r="J22" s="12" t="n">
        <f aca="false">SUMPRODUCT(($H$6:$H$41&lt;=$H22)*Aportes!$C$2:$C$37)</f>
        <v>0.66</v>
      </c>
      <c r="K22" s="12" t="n">
        <f aca="false">SUMPRODUCT(($H$6:$H$41&lt;=$H22)*Aportes!$D$2:$D$37)</f>
        <v>0.79</v>
      </c>
      <c r="L22" s="12" t="n">
        <f aca="false">SUMPRODUCT(($H$6:$H$41&lt;=$H22)*Aportes!$E$2:$E$37)</f>
        <v>0.78</v>
      </c>
      <c r="M22" s="13" t="str">
        <f aca="false">IF(AND(M$5&gt;=$F22,M$5&lt;$F22+$G22),1,"")</f>
        <v/>
      </c>
      <c r="N22" s="13" t="str">
        <f aca="false">IF(AND(N$5&gt;=$F22,N$5&lt;$F22+$G22),1,"")</f>
        <v/>
      </c>
      <c r="O22" s="13" t="str">
        <f aca="false">IF(AND(O$5&gt;=$F22,O$5&lt;$F22+$G22),1,"")</f>
        <v/>
      </c>
      <c r="P22" s="13" t="n">
        <f aca="false">IF(AND(P$5&gt;=$F22,P$5&lt;$F22+$G22),1,"")</f>
        <v>1</v>
      </c>
      <c r="Q22" s="13" t="n">
        <f aca="false">IF(AND(Q$5&gt;=$F22,Q$5&lt;$F22+$G22),1,"")</f>
        <v>1</v>
      </c>
      <c r="R22" s="13" t="str">
        <f aca="false">IF(AND(R$5&gt;=$F22,R$5&lt;$F22+$G22),1,"")</f>
        <v/>
      </c>
      <c r="S22" s="13" t="str">
        <f aca="false">IF(AND(S$5&gt;=$F22,S$5&lt;$F22+$G22),1,"")</f>
        <v/>
      </c>
      <c r="T22" s="13" t="str">
        <f aca="false">IF(AND(T$5&gt;=$F22,T$5&lt;$F22+$G22),1,"")</f>
        <v/>
      </c>
    </row>
    <row r="23" customFormat="false" ht="23.25" hidden="false" customHeight="true" outlineLevel="0" collapsed="false">
      <c r="A23" s="7" t="n">
        <v>18</v>
      </c>
      <c r="B23" s="8" t="s">
        <v>59</v>
      </c>
      <c r="C23" s="9" t="s">
        <v>69</v>
      </c>
      <c r="D23" s="9" t="s">
        <v>70</v>
      </c>
      <c r="E23" s="8" t="s">
        <v>71</v>
      </c>
      <c r="F23" s="10" t="n">
        <v>4</v>
      </c>
      <c r="G23" s="10" t="n">
        <v>2</v>
      </c>
      <c r="H23" s="7" t="n">
        <f aca="false">F23+G23-1</f>
        <v>5</v>
      </c>
      <c r="I23" s="11" t="s">
        <v>20</v>
      </c>
      <c r="J23" s="12" t="n">
        <f aca="false">SUMPRODUCT(($H$6:$H$41&lt;=$H23)*Aportes!$C$2:$C$37)</f>
        <v>0.66</v>
      </c>
      <c r="K23" s="12" t="n">
        <f aca="false">SUMPRODUCT(($H$6:$H$41&lt;=$H23)*Aportes!$D$2:$D$37)</f>
        <v>0.79</v>
      </c>
      <c r="L23" s="12" t="n">
        <f aca="false">SUMPRODUCT(($H$6:$H$41&lt;=$H23)*Aportes!$E$2:$E$37)</f>
        <v>0.78</v>
      </c>
      <c r="M23" s="13" t="str">
        <f aca="false">IF(AND(M$5&gt;=$F23,M$5&lt;$F23+$G23),1,"")</f>
        <v/>
      </c>
      <c r="N23" s="13" t="str">
        <f aca="false">IF(AND(N$5&gt;=$F23,N$5&lt;$F23+$G23),1,"")</f>
        <v/>
      </c>
      <c r="O23" s="13" t="str">
        <f aca="false">IF(AND(O$5&gt;=$F23,O$5&lt;$F23+$G23),1,"")</f>
        <v/>
      </c>
      <c r="P23" s="13" t="n">
        <f aca="false">IF(AND(P$5&gt;=$F23,P$5&lt;$F23+$G23),1,"")</f>
        <v>1</v>
      </c>
      <c r="Q23" s="13" t="n">
        <f aca="false">IF(AND(Q$5&gt;=$F23,Q$5&lt;$F23+$G23),1,"")</f>
        <v>1</v>
      </c>
      <c r="R23" s="13" t="str">
        <f aca="false">IF(AND(R$5&gt;=$F23,R$5&lt;$F23+$G23),1,"")</f>
        <v/>
      </c>
      <c r="S23" s="13" t="str">
        <f aca="false">IF(AND(S$5&gt;=$F23,S$5&lt;$F23+$G23),1,"")</f>
        <v/>
      </c>
      <c r="T23" s="13" t="str">
        <f aca="false">IF(AND(T$5&gt;=$F23,T$5&lt;$F23+$G23),1,"")</f>
        <v/>
      </c>
    </row>
    <row r="24" customFormat="false" ht="15" hidden="false" customHeight="true" outlineLevel="0" collapsed="false">
      <c r="A24" s="7" t="n">
        <v>19</v>
      </c>
      <c r="B24" s="8" t="s">
        <v>72</v>
      </c>
      <c r="C24" s="9" t="s">
        <v>73</v>
      </c>
      <c r="D24" s="9" t="s">
        <v>74</v>
      </c>
      <c r="E24" s="8" t="s">
        <v>75</v>
      </c>
      <c r="F24" s="10" t="n">
        <v>4</v>
      </c>
      <c r="G24" s="10" t="n">
        <v>1</v>
      </c>
      <c r="H24" s="7" t="n">
        <f aca="false">F24+G24-1</f>
        <v>4</v>
      </c>
      <c r="I24" s="11" t="s">
        <v>20</v>
      </c>
      <c r="J24" s="12" t="n">
        <f aca="false">SUMPRODUCT(($H$6:$H$41&lt;=$H24)*Aportes!$C$2:$C$37)</f>
        <v>0.57</v>
      </c>
      <c r="K24" s="12" t="n">
        <f aca="false">SUMPRODUCT(($H$6:$H$41&lt;=$H24)*Aportes!$D$2:$D$37)</f>
        <v>0.69</v>
      </c>
      <c r="L24" s="12" t="n">
        <f aca="false">SUMPRODUCT(($H$6:$H$41&lt;=$H24)*Aportes!$E$2:$E$37)</f>
        <v>0.56</v>
      </c>
      <c r="M24" s="13" t="str">
        <f aca="false">IF(AND(M$5&gt;=$F24,M$5&lt;$F24+$G24),1,"")</f>
        <v/>
      </c>
      <c r="N24" s="13" t="str">
        <f aca="false">IF(AND(N$5&gt;=$F24,N$5&lt;$F24+$G24),1,"")</f>
        <v/>
      </c>
      <c r="O24" s="13" t="str">
        <f aca="false">IF(AND(O$5&gt;=$F24,O$5&lt;$F24+$G24),1,"")</f>
        <v/>
      </c>
      <c r="P24" s="13" t="n">
        <f aca="false">IF(AND(P$5&gt;=$F24,P$5&lt;$F24+$G24),1,"")</f>
        <v>1</v>
      </c>
      <c r="Q24" s="13" t="str">
        <f aca="false">IF(AND(Q$5&gt;=$F24,Q$5&lt;$F24+$G24),1,"")</f>
        <v/>
      </c>
      <c r="R24" s="13" t="str">
        <f aca="false">IF(AND(R$5&gt;=$F24,R$5&lt;$F24+$G24),1,"")</f>
        <v/>
      </c>
      <c r="S24" s="13" t="str">
        <f aca="false">IF(AND(S$5&gt;=$F24,S$5&lt;$F24+$G24),1,"")</f>
        <v/>
      </c>
      <c r="T24" s="13" t="str">
        <f aca="false">IF(AND(T$5&gt;=$F24,T$5&lt;$F24+$G24),1,"")</f>
        <v/>
      </c>
    </row>
    <row r="25" customFormat="false" ht="15" hidden="false" customHeight="true" outlineLevel="0" collapsed="false">
      <c r="A25" s="7" t="n">
        <v>20</v>
      </c>
      <c r="B25" s="8" t="s">
        <v>72</v>
      </c>
      <c r="C25" s="9" t="s">
        <v>76</v>
      </c>
      <c r="D25" s="9" t="s">
        <v>77</v>
      </c>
      <c r="E25" s="8" t="s">
        <v>78</v>
      </c>
      <c r="F25" s="10" t="n">
        <v>5</v>
      </c>
      <c r="G25" s="10" t="n">
        <v>2</v>
      </c>
      <c r="H25" s="7" t="n">
        <f aca="false">F25+G25-1</f>
        <v>6</v>
      </c>
      <c r="I25" s="11" t="s">
        <v>20</v>
      </c>
      <c r="J25" s="12" t="n">
        <f aca="false">SUMPRODUCT(($H$6:$H$41&lt;=$H25)*Aportes!$C$2:$C$37)</f>
        <v>0.84</v>
      </c>
      <c r="K25" s="12" t="n">
        <f aca="false">SUMPRODUCT(($H$6:$H$41&lt;=$H25)*Aportes!$D$2:$D$37)</f>
        <v>0.89</v>
      </c>
      <c r="L25" s="12" t="n">
        <f aca="false">SUMPRODUCT(($H$6:$H$41&lt;=$H25)*Aportes!$E$2:$E$37)</f>
        <v>1</v>
      </c>
      <c r="M25" s="13" t="str">
        <f aca="false">IF(AND(M$5&gt;=$F25,M$5&lt;$F25+$G25),1,"")</f>
        <v/>
      </c>
      <c r="N25" s="13" t="str">
        <f aca="false">IF(AND(N$5&gt;=$F25,N$5&lt;$F25+$G25),1,"")</f>
        <v/>
      </c>
      <c r="O25" s="13" t="str">
        <f aca="false">IF(AND(O$5&gt;=$F25,O$5&lt;$F25+$G25),1,"")</f>
        <v/>
      </c>
      <c r="P25" s="13" t="str">
        <f aca="false">IF(AND(P$5&gt;=$F25,P$5&lt;$F25+$G25),1,"")</f>
        <v/>
      </c>
      <c r="Q25" s="13" t="n">
        <f aca="false">IF(AND(Q$5&gt;=$F25,Q$5&lt;$F25+$G25),1,"")</f>
        <v>1</v>
      </c>
      <c r="R25" s="13" t="n">
        <f aca="false">IF(AND(R$5&gt;=$F25,R$5&lt;$F25+$G25),1,"")</f>
        <v>1</v>
      </c>
      <c r="S25" s="13" t="str">
        <f aca="false">IF(AND(S$5&gt;=$F25,S$5&lt;$F25+$G25),1,"")</f>
        <v/>
      </c>
      <c r="T25" s="13" t="str">
        <f aca="false">IF(AND(T$5&gt;=$F25,T$5&lt;$F25+$G25),1,"")</f>
        <v/>
      </c>
    </row>
    <row r="26" customFormat="false" ht="15" hidden="false" customHeight="true" outlineLevel="0" collapsed="false">
      <c r="A26" s="7" t="n">
        <v>21</v>
      </c>
      <c r="B26" s="8" t="s">
        <v>72</v>
      </c>
      <c r="C26" s="9" t="s">
        <v>79</v>
      </c>
      <c r="D26" s="9" t="s">
        <v>80</v>
      </c>
      <c r="E26" s="8" t="s">
        <v>81</v>
      </c>
      <c r="F26" s="10" t="n">
        <v>5</v>
      </c>
      <c r="G26" s="10" t="n">
        <v>1</v>
      </c>
      <c r="H26" s="7" t="n">
        <f aca="false">F26+G26-1</f>
        <v>5</v>
      </c>
      <c r="I26" s="7" t="s">
        <v>28</v>
      </c>
      <c r="J26" s="12" t="n">
        <f aca="false">SUMPRODUCT(($H$6:$H$41&lt;=$H26)*Aportes!$C$2:$C$37)</f>
        <v>0.66</v>
      </c>
      <c r="K26" s="12" t="n">
        <f aca="false">SUMPRODUCT(($H$6:$H$41&lt;=$H26)*Aportes!$D$2:$D$37)</f>
        <v>0.79</v>
      </c>
      <c r="L26" s="12" t="n">
        <f aca="false">SUMPRODUCT(($H$6:$H$41&lt;=$H26)*Aportes!$E$2:$E$37)</f>
        <v>0.78</v>
      </c>
      <c r="M26" s="13" t="str">
        <f aca="false">IF(AND(M$5&gt;=$F26,M$5&lt;$F26+$G26),1,"")</f>
        <v/>
      </c>
      <c r="N26" s="13" t="str">
        <f aca="false">IF(AND(N$5&gt;=$F26,N$5&lt;$F26+$G26),1,"")</f>
        <v/>
      </c>
      <c r="O26" s="13" t="str">
        <f aca="false">IF(AND(O$5&gt;=$F26,O$5&lt;$F26+$G26),1,"")</f>
        <v/>
      </c>
      <c r="P26" s="13" t="str">
        <f aca="false">IF(AND(P$5&gt;=$F26,P$5&lt;$F26+$G26),1,"")</f>
        <v/>
      </c>
      <c r="Q26" s="13" t="n">
        <f aca="false">IF(AND(Q$5&gt;=$F26,Q$5&lt;$F26+$G26),1,"")</f>
        <v>1</v>
      </c>
      <c r="R26" s="13" t="str">
        <f aca="false">IF(AND(R$5&gt;=$F26,R$5&lt;$F26+$G26),1,"")</f>
        <v/>
      </c>
      <c r="S26" s="13" t="str">
        <f aca="false">IF(AND(S$5&gt;=$F26,S$5&lt;$F26+$G26),1,"")</f>
        <v/>
      </c>
      <c r="T26" s="13" t="str">
        <f aca="false">IF(AND(T$5&gt;=$F26,T$5&lt;$F26+$G26),1,"")</f>
        <v/>
      </c>
    </row>
    <row r="27" customFormat="false" ht="15" hidden="false" customHeight="true" outlineLevel="0" collapsed="false">
      <c r="A27" s="7" t="n">
        <v>22</v>
      </c>
      <c r="B27" s="8" t="s">
        <v>72</v>
      </c>
      <c r="C27" s="9" t="s">
        <v>82</v>
      </c>
      <c r="D27" s="9" t="s">
        <v>83</v>
      </c>
      <c r="E27" s="8" t="s">
        <v>84</v>
      </c>
      <c r="F27" s="10" t="n">
        <v>6</v>
      </c>
      <c r="G27" s="10" t="n">
        <v>1</v>
      </c>
      <c r="H27" s="7" t="n">
        <f aca="false">F27+G27-1</f>
        <v>6</v>
      </c>
      <c r="I27" s="11" t="s">
        <v>20</v>
      </c>
      <c r="J27" s="12" t="n">
        <f aca="false">SUMPRODUCT(($H$6:$H$41&lt;=$H27)*Aportes!$C$2:$C$37)</f>
        <v>0.84</v>
      </c>
      <c r="K27" s="12" t="n">
        <f aca="false">SUMPRODUCT(($H$6:$H$41&lt;=$H27)*Aportes!$D$2:$D$37)</f>
        <v>0.89</v>
      </c>
      <c r="L27" s="12" t="n">
        <f aca="false">SUMPRODUCT(($H$6:$H$41&lt;=$H27)*Aportes!$E$2:$E$37)</f>
        <v>1</v>
      </c>
      <c r="M27" s="13" t="str">
        <f aca="false">IF(AND(M$5&gt;=$F27,M$5&lt;$F27+$G27),1,"")</f>
        <v/>
      </c>
      <c r="N27" s="13" t="str">
        <f aca="false">IF(AND(N$5&gt;=$F27,N$5&lt;$F27+$G27),1,"")</f>
        <v/>
      </c>
      <c r="O27" s="13" t="str">
        <f aca="false">IF(AND(O$5&gt;=$F27,O$5&lt;$F27+$G27),1,"")</f>
        <v/>
      </c>
      <c r="P27" s="13" t="str">
        <f aca="false">IF(AND(P$5&gt;=$F27,P$5&lt;$F27+$G27),1,"")</f>
        <v/>
      </c>
      <c r="Q27" s="13" t="str">
        <f aca="false">IF(AND(Q$5&gt;=$F27,Q$5&lt;$F27+$G27),1,"")</f>
        <v/>
      </c>
      <c r="R27" s="13" t="n">
        <f aca="false">IF(AND(R$5&gt;=$F27,R$5&lt;$F27+$G27),1,"")</f>
        <v>1</v>
      </c>
      <c r="S27" s="13" t="str">
        <f aca="false">IF(AND(S$5&gt;=$F27,S$5&lt;$F27+$G27),1,"")</f>
        <v/>
      </c>
      <c r="T27" s="13" t="str">
        <f aca="false">IF(AND(T$5&gt;=$F27,T$5&lt;$F27+$G27),1,"")</f>
        <v/>
      </c>
    </row>
    <row r="28" customFormat="false" ht="15" hidden="false" customHeight="true" outlineLevel="0" collapsed="false">
      <c r="A28" s="7" t="n">
        <v>23</v>
      </c>
      <c r="B28" s="8" t="s">
        <v>72</v>
      </c>
      <c r="C28" s="9" t="s">
        <v>85</v>
      </c>
      <c r="D28" s="9" t="s">
        <v>86</v>
      </c>
      <c r="E28" s="8" t="s">
        <v>87</v>
      </c>
      <c r="F28" s="10" t="n">
        <v>6</v>
      </c>
      <c r="G28" s="10" t="n">
        <v>1</v>
      </c>
      <c r="H28" s="7" t="n">
        <f aca="false">F28+G28-1</f>
        <v>6</v>
      </c>
      <c r="I28" s="11" t="s">
        <v>20</v>
      </c>
      <c r="J28" s="12" t="n">
        <f aca="false">SUMPRODUCT(($H$6:$H$41&lt;=$H28)*Aportes!$C$2:$C$37)</f>
        <v>0.84</v>
      </c>
      <c r="K28" s="12" t="n">
        <f aca="false">SUMPRODUCT(($H$6:$H$41&lt;=$H28)*Aportes!$D$2:$D$37)</f>
        <v>0.89</v>
      </c>
      <c r="L28" s="12" t="n">
        <f aca="false">SUMPRODUCT(($H$6:$H$41&lt;=$H28)*Aportes!$E$2:$E$37)</f>
        <v>1</v>
      </c>
      <c r="M28" s="13" t="str">
        <f aca="false">IF(AND(M$5&gt;=$F28,M$5&lt;$F28+$G28),1,"")</f>
        <v/>
      </c>
      <c r="N28" s="13" t="str">
        <f aca="false">IF(AND(N$5&gt;=$F28,N$5&lt;$F28+$G28),1,"")</f>
        <v/>
      </c>
      <c r="O28" s="13" t="str">
        <f aca="false">IF(AND(O$5&gt;=$F28,O$5&lt;$F28+$G28),1,"")</f>
        <v/>
      </c>
      <c r="P28" s="13" t="str">
        <f aca="false">IF(AND(P$5&gt;=$F28,P$5&lt;$F28+$G28),1,"")</f>
        <v/>
      </c>
      <c r="Q28" s="13" t="str">
        <f aca="false">IF(AND(Q$5&gt;=$F28,Q$5&lt;$F28+$G28),1,"")</f>
        <v/>
      </c>
      <c r="R28" s="13" t="n">
        <f aca="false">IF(AND(R$5&gt;=$F28,R$5&lt;$F28+$G28),1,"")</f>
        <v>1</v>
      </c>
      <c r="S28" s="13" t="str">
        <f aca="false">IF(AND(S$5&gt;=$F28,S$5&lt;$F28+$G28),1,"")</f>
        <v/>
      </c>
      <c r="T28" s="13" t="str">
        <f aca="false">IF(AND(T$5&gt;=$F28,T$5&lt;$F28+$G28),1,"")</f>
        <v/>
      </c>
    </row>
    <row r="29" customFormat="false" ht="23.25" hidden="false" customHeight="true" outlineLevel="0" collapsed="false">
      <c r="A29" s="7" t="n">
        <v>24</v>
      </c>
      <c r="B29" s="8" t="s">
        <v>88</v>
      </c>
      <c r="C29" s="9" t="s">
        <v>89</v>
      </c>
      <c r="D29" s="9" t="s">
        <v>90</v>
      </c>
      <c r="E29" s="8" t="s">
        <v>81</v>
      </c>
      <c r="F29" s="10" t="n">
        <v>5</v>
      </c>
      <c r="G29" s="10" t="n">
        <v>1</v>
      </c>
      <c r="H29" s="7" t="n">
        <f aca="false">F29+G29-1</f>
        <v>5</v>
      </c>
      <c r="I29" s="11" t="s">
        <v>20</v>
      </c>
      <c r="J29" s="12" t="n">
        <f aca="false">SUMPRODUCT(($H$6:$H$41&lt;=$H29)*Aportes!$C$2:$C$37)</f>
        <v>0.66</v>
      </c>
      <c r="K29" s="12" t="n">
        <f aca="false">SUMPRODUCT(($H$6:$H$41&lt;=$H29)*Aportes!$D$2:$D$37)</f>
        <v>0.79</v>
      </c>
      <c r="L29" s="12" t="n">
        <f aca="false">SUMPRODUCT(($H$6:$H$41&lt;=$H29)*Aportes!$E$2:$E$37)</f>
        <v>0.78</v>
      </c>
      <c r="M29" s="13" t="str">
        <f aca="false">IF(AND(M$5&gt;=$F29,M$5&lt;$F29+$G29),1,"")</f>
        <v/>
      </c>
      <c r="N29" s="13" t="str">
        <f aca="false">IF(AND(N$5&gt;=$F29,N$5&lt;$F29+$G29),1,"")</f>
        <v/>
      </c>
      <c r="O29" s="13" t="str">
        <f aca="false">IF(AND(O$5&gt;=$F29,O$5&lt;$F29+$G29),1,"")</f>
        <v/>
      </c>
      <c r="P29" s="13" t="str">
        <f aca="false">IF(AND(P$5&gt;=$F29,P$5&lt;$F29+$G29),1,"")</f>
        <v/>
      </c>
      <c r="Q29" s="13" t="n">
        <f aca="false">IF(AND(Q$5&gt;=$F29,Q$5&lt;$F29+$G29),1,"")</f>
        <v>1</v>
      </c>
      <c r="R29" s="13" t="str">
        <f aca="false">IF(AND(R$5&gt;=$F29,R$5&lt;$F29+$G29),1,"")</f>
        <v/>
      </c>
      <c r="S29" s="13" t="str">
        <f aca="false">IF(AND(S$5&gt;=$F29,S$5&lt;$F29+$G29),1,"")</f>
        <v/>
      </c>
      <c r="T29" s="13" t="str">
        <f aca="false">IF(AND(T$5&gt;=$F29,T$5&lt;$F29+$G29),1,"")</f>
        <v/>
      </c>
    </row>
    <row r="30" customFormat="false" ht="23.25" hidden="false" customHeight="true" outlineLevel="0" collapsed="false">
      <c r="A30" s="7" t="n">
        <v>25</v>
      </c>
      <c r="B30" s="8" t="s">
        <v>88</v>
      </c>
      <c r="C30" s="9" t="s">
        <v>91</v>
      </c>
      <c r="D30" s="9" t="s">
        <v>92</v>
      </c>
      <c r="E30" s="8" t="s">
        <v>81</v>
      </c>
      <c r="F30" s="10" t="n">
        <v>6</v>
      </c>
      <c r="G30" s="10" t="n">
        <v>1</v>
      </c>
      <c r="H30" s="7" t="n">
        <f aca="false">F30+G30-1</f>
        <v>6</v>
      </c>
      <c r="I30" s="11" t="s">
        <v>20</v>
      </c>
      <c r="J30" s="12" t="n">
        <f aca="false">SUMPRODUCT(($H$6:$H$41&lt;=$H30)*Aportes!$C$2:$C$37)</f>
        <v>0.84</v>
      </c>
      <c r="K30" s="12" t="n">
        <f aca="false">SUMPRODUCT(($H$6:$H$41&lt;=$H30)*Aportes!$D$2:$D$37)</f>
        <v>0.89</v>
      </c>
      <c r="L30" s="12" t="n">
        <f aca="false">SUMPRODUCT(($H$6:$H$41&lt;=$H30)*Aportes!$E$2:$E$37)</f>
        <v>1</v>
      </c>
      <c r="M30" s="13" t="str">
        <f aca="false">IF(AND(M$5&gt;=$F30,M$5&lt;$F30+$G30),1,"")</f>
        <v/>
      </c>
      <c r="N30" s="13" t="str">
        <f aca="false">IF(AND(N$5&gt;=$F30,N$5&lt;$F30+$G30),1,"")</f>
        <v/>
      </c>
      <c r="O30" s="13" t="str">
        <f aca="false">IF(AND(O$5&gt;=$F30,O$5&lt;$F30+$G30),1,"")</f>
        <v/>
      </c>
      <c r="P30" s="13" t="str">
        <f aca="false">IF(AND(P$5&gt;=$F30,P$5&lt;$F30+$G30),1,"")</f>
        <v/>
      </c>
      <c r="Q30" s="13" t="str">
        <f aca="false">IF(AND(Q$5&gt;=$F30,Q$5&lt;$F30+$G30),1,"")</f>
        <v/>
      </c>
      <c r="R30" s="13" t="n">
        <f aca="false">IF(AND(R$5&gt;=$F30,R$5&lt;$F30+$G30),1,"")</f>
        <v>1</v>
      </c>
      <c r="S30" s="13" t="str">
        <f aca="false">IF(AND(S$5&gt;=$F30,S$5&lt;$F30+$G30),1,"")</f>
        <v/>
      </c>
      <c r="T30" s="13" t="str">
        <f aca="false">IF(AND(T$5&gt;=$F30,T$5&lt;$F30+$G30),1,"")</f>
        <v/>
      </c>
    </row>
    <row r="31" customFormat="false" ht="15" hidden="false" customHeight="true" outlineLevel="0" collapsed="false">
      <c r="A31" s="7" t="n">
        <v>26</v>
      </c>
      <c r="B31" s="8" t="s">
        <v>88</v>
      </c>
      <c r="C31" s="9" t="s">
        <v>93</v>
      </c>
      <c r="D31" s="9" t="s">
        <v>94</v>
      </c>
      <c r="E31" s="8" t="s">
        <v>95</v>
      </c>
      <c r="F31" s="10" t="n">
        <v>6</v>
      </c>
      <c r="G31" s="10" t="n">
        <v>1</v>
      </c>
      <c r="H31" s="7" t="n">
        <f aca="false">F31+G31-1</f>
        <v>6</v>
      </c>
      <c r="I31" s="11" t="s">
        <v>20</v>
      </c>
      <c r="J31" s="12" t="n">
        <f aca="false">SUMPRODUCT(($H$6:$H$41&lt;=$H31)*Aportes!$C$2:$C$37)</f>
        <v>0.84</v>
      </c>
      <c r="K31" s="12" t="n">
        <f aca="false">SUMPRODUCT(($H$6:$H$41&lt;=$H31)*Aportes!$D$2:$D$37)</f>
        <v>0.89</v>
      </c>
      <c r="L31" s="12" t="n">
        <f aca="false">SUMPRODUCT(($H$6:$H$41&lt;=$H31)*Aportes!$E$2:$E$37)</f>
        <v>1</v>
      </c>
      <c r="M31" s="13" t="str">
        <f aca="false">IF(AND(M$5&gt;=$F31,M$5&lt;$F31+$G31),1,"")</f>
        <v/>
      </c>
      <c r="N31" s="13" t="str">
        <f aca="false">IF(AND(N$5&gt;=$F31,N$5&lt;$F31+$G31),1,"")</f>
        <v/>
      </c>
      <c r="O31" s="13" t="str">
        <f aca="false">IF(AND(O$5&gt;=$F31,O$5&lt;$F31+$G31),1,"")</f>
        <v/>
      </c>
      <c r="P31" s="13" t="str">
        <f aca="false">IF(AND(P$5&gt;=$F31,P$5&lt;$F31+$G31),1,"")</f>
        <v/>
      </c>
      <c r="Q31" s="13" t="str">
        <f aca="false">IF(AND(Q$5&gt;=$F31,Q$5&lt;$F31+$G31),1,"")</f>
        <v/>
      </c>
      <c r="R31" s="13" t="n">
        <f aca="false">IF(AND(R$5&gt;=$F31,R$5&lt;$F31+$G31),1,"")</f>
        <v>1</v>
      </c>
      <c r="S31" s="13" t="str">
        <f aca="false">IF(AND(S$5&gt;=$F31,S$5&lt;$F31+$G31),1,"")</f>
        <v/>
      </c>
      <c r="T31" s="13" t="str">
        <f aca="false">IF(AND(T$5&gt;=$F31,T$5&lt;$F31+$G31),1,"")</f>
        <v/>
      </c>
    </row>
    <row r="32" customFormat="false" ht="15" hidden="false" customHeight="true" outlineLevel="0" collapsed="false">
      <c r="A32" s="7" t="n">
        <v>27</v>
      </c>
      <c r="B32" s="8" t="s">
        <v>88</v>
      </c>
      <c r="C32" s="9" t="s">
        <v>96</v>
      </c>
      <c r="D32" s="9" t="s">
        <v>97</v>
      </c>
      <c r="E32" s="8" t="s">
        <v>87</v>
      </c>
      <c r="F32" s="10" t="n">
        <v>6</v>
      </c>
      <c r="G32" s="10" t="n">
        <v>1</v>
      </c>
      <c r="H32" s="7" t="n">
        <f aca="false">F32+G32-1</f>
        <v>6</v>
      </c>
      <c r="I32" s="7" t="s">
        <v>28</v>
      </c>
      <c r="J32" s="12" t="n">
        <f aca="false">SUMPRODUCT(($H$6:$H$41&lt;=$H32)*Aportes!$C$2:$C$37)</f>
        <v>0.84</v>
      </c>
      <c r="K32" s="12" t="n">
        <f aca="false">SUMPRODUCT(($H$6:$H$41&lt;=$H32)*Aportes!$D$2:$D$37)</f>
        <v>0.89</v>
      </c>
      <c r="L32" s="12" t="n">
        <f aca="false">SUMPRODUCT(($H$6:$H$41&lt;=$H32)*Aportes!$E$2:$E$37)</f>
        <v>1</v>
      </c>
      <c r="M32" s="13" t="str">
        <f aca="false">IF(AND(M$5&gt;=$F32,M$5&lt;$F32+$G32),1,"")</f>
        <v/>
      </c>
      <c r="N32" s="13" t="str">
        <f aca="false">IF(AND(N$5&gt;=$F32,N$5&lt;$F32+$G32),1,"")</f>
        <v/>
      </c>
      <c r="O32" s="13" t="str">
        <f aca="false">IF(AND(O$5&gt;=$F32,O$5&lt;$F32+$G32),1,"")</f>
        <v/>
      </c>
      <c r="P32" s="13" t="str">
        <f aca="false">IF(AND(P$5&gt;=$F32,P$5&lt;$F32+$G32),1,"")</f>
        <v/>
      </c>
      <c r="Q32" s="13" t="str">
        <f aca="false">IF(AND(Q$5&gt;=$F32,Q$5&lt;$F32+$G32),1,"")</f>
        <v/>
      </c>
      <c r="R32" s="13" t="n">
        <f aca="false">IF(AND(R$5&gt;=$F32,R$5&lt;$F32+$G32),1,"")</f>
        <v>1</v>
      </c>
      <c r="S32" s="13" t="str">
        <f aca="false">IF(AND(S$5&gt;=$F32,S$5&lt;$F32+$G32),1,"")</f>
        <v/>
      </c>
      <c r="T32" s="13" t="str">
        <f aca="false">IF(AND(T$5&gt;=$F32,T$5&lt;$F32+$G32),1,"")</f>
        <v/>
      </c>
    </row>
    <row r="33" customFormat="false" ht="15" hidden="false" customHeight="true" outlineLevel="0" collapsed="false">
      <c r="A33" s="7" t="n">
        <v>28</v>
      </c>
      <c r="B33" s="8" t="s">
        <v>88</v>
      </c>
      <c r="C33" s="9" t="s">
        <v>98</v>
      </c>
      <c r="D33" s="9" t="s">
        <v>99</v>
      </c>
      <c r="E33" s="8" t="s">
        <v>100</v>
      </c>
      <c r="F33" s="10" t="n">
        <v>7</v>
      </c>
      <c r="G33" s="10" t="n">
        <v>1</v>
      </c>
      <c r="H33" s="7" t="n">
        <f aca="false">F33+G33-1</f>
        <v>7</v>
      </c>
      <c r="I33" s="11" t="s">
        <v>20</v>
      </c>
      <c r="J33" s="12" t="n">
        <f aca="false">SUMPRODUCT(($H$6:$H$41&lt;=$H33)*Aportes!$C$2:$C$37)</f>
        <v>1</v>
      </c>
      <c r="K33" s="12" t="n">
        <f aca="false">SUMPRODUCT(($H$6:$H$41&lt;=$H33)*Aportes!$D$2:$D$37)</f>
        <v>1</v>
      </c>
      <c r="L33" s="12" t="n">
        <f aca="false">SUMPRODUCT(($H$6:$H$41&lt;=$H33)*Aportes!$E$2:$E$37)</f>
        <v>1</v>
      </c>
      <c r="M33" s="13" t="str">
        <f aca="false">IF(AND(M$5&gt;=$F33,M$5&lt;$F33+$G33),1,"")</f>
        <v/>
      </c>
      <c r="N33" s="13" t="str">
        <f aca="false">IF(AND(N$5&gt;=$F33,N$5&lt;$F33+$G33),1,"")</f>
        <v/>
      </c>
      <c r="O33" s="13" t="str">
        <f aca="false">IF(AND(O$5&gt;=$F33,O$5&lt;$F33+$G33),1,"")</f>
        <v/>
      </c>
      <c r="P33" s="13" t="str">
        <f aca="false">IF(AND(P$5&gt;=$F33,P$5&lt;$F33+$G33),1,"")</f>
        <v/>
      </c>
      <c r="Q33" s="13" t="str">
        <f aca="false">IF(AND(Q$5&gt;=$F33,Q$5&lt;$F33+$G33),1,"")</f>
        <v/>
      </c>
      <c r="R33" s="13" t="str">
        <f aca="false">IF(AND(R$5&gt;=$F33,R$5&lt;$F33+$G33),1,"")</f>
        <v/>
      </c>
      <c r="S33" s="13" t="n">
        <f aca="false">IF(AND(S$5&gt;=$F33,S$5&lt;$F33+$G33),1,"")</f>
        <v>1</v>
      </c>
      <c r="T33" s="13" t="str">
        <f aca="false">IF(AND(T$5&gt;=$F33,T$5&lt;$F33+$G33),1,"")</f>
        <v/>
      </c>
    </row>
    <row r="34" customFormat="false" ht="23.25" hidden="false" customHeight="true" outlineLevel="0" collapsed="false">
      <c r="A34" s="7" t="n">
        <v>29</v>
      </c>
      <c r="B34" s="8" t="s">
        <v>101</v>
      </c>
      <c r="C34" s="9" t="s">
        <v>102</v>
      </c>
      <c r="D34" s="9" t="s">
        <v>103</v>
      </c>
      <c r="E34" s="8" t="s">
        <v>19</v>
      </c>
      <c r="F34" s="10" t="n">
        <v>1</v>
      </c>
      <c r="G34" s="10" t="n">
        <v>7</v>
      </c>
      <c r="H34" s="7" t="n">
        <f aca="false">F34+G34-1</f>
        <v>7</v>
      </c>
      <c r="I34" s="11" t="s">
        <v>20</v>
      </c>
      <c r="J34" s="12" t="n">
        <f aca="false">SUMPRODUCT(($H$6:$H$41&lt;=$H34)*Aportes!$C$2:$C$37)</f>
        <v>1</v>
      </c>
      <c r="K34" s="12" t="n">
        <f aca="false">SUMPRODUCT(($H$6:$H$41&lt;=$H34)*Aportes!$D$2:$D$37)</f>
        <v>1</v>
      </c>
      <c r="L34" s="12" t="n">
        <f aca="false">SUMPRODUCT(($H$6:$H$41&lt;=$H34)*Aportes!$E$2:$E$37)</f>
        <v>1</v>
      </c>
      <c r="M34" s="13" t="n">
        <f aca="false">IF(AND(M$5&gt;=$F34,M$5&lt;$F34+$G34),1,"")</f>
        <v>1</v>
      </c>
      <c r="N34" s="13" t="n">
        <f aca="false">IF(AND(N$5&gt;=$F34,N$5&lt;$F34+$G34),1,"")</f>
        <v>1</v>
      </c>
      <c r="O34" s="13" t="n">
        <f aca="false">IF(AND(O$5&gt;=$F34,O$5&lt;$F34+$G34),1,"")</f>
        <v>1</v>
      </c>
      <c r="P34" s="13" t="n">
        <f aca="false">IF(AND(P$5&gt;=$F34,P$5&lt;$F34+$G34),1,"")</f>
        <v>1</v>
      </c>
      <c r="Q34" s="13" t="n">
        <f aca="false">IF(AND(Q$5&gt;=$F34,Q$5&lt;$F34+$G34),1,"")</f>
        <v>1</v>
      </c>
      <c r="R34" s="13" t="n">
        <f aca="false">IF(AND(R$5&gt;=$F34,R$5&lt;$F34+$G34),1,"")</f>
        <v>1</v>
      </c>
      <c r="S34" s="13" t="n">
        <f aca="false">IF(AND(S$5&gt;=$F34,S$5&lt;$F34+$G34),1,"")</f>
        <v>1</v>
      </c>
      <c r="T34" s="13" t="str">
        <f aca="false">IF(AND(T$5&gt;=$F34,T$5&lt;$F34+$G34),1,"")</f>
        <v/>
      </c>
    </row>
    <row r="35" customFormat="false" ht="15" hidden="false" customHeight="true" outlineLevel="0" collapsed="false">
      <c r="A35" s="7" t="n">
        <v>30</v>
      </c>
      <c r="B35" s="8" t="s">
        <v>101</v>
      </c>
      <c r="C35" s="9" t="s">
        <v>104</v>
      </c>
      <c r="D35" s="9" t="s">
        <v>105</v>
      </c>
      <c r="E35" s="8" t="s">
        <v>106</v>
      </c>
      <c r="F35" s="10" t="n">
        <v>3</v>
      </c>
      <c r="G35" s="10" t="n">
        <v>2</v>
      </c>
      <c r="H35" s="7" t="n">
        <f aca="false">F35+G35-1</f>
        <v>4</v>
      </c>
      <c r="I35" s="11" t="s">
        <v>20</v>
      </c>
      <c r="J35" s="12" t="n">
        <f aca="false">SUMPRODUCT(($H$6:$H$41&lt;=$H35)*Aportes!$C$2:$C$37)</f>
        <v>0.57</v>
      </c>
      <c r="K35" s="12" t="n">
        <f aca="false">SUMPRODUCT(($H$6:$H$41&lt;=$H35)*Aportes!$D$2:$D$37)</f>
        <v>0.69</v>
      </c>
      <c r="L35" s="12" t="n">
        <f aca="false">SUMPRODUCT(($H$6:$H$41&lt;=$H35)*Aportes!$E$2:$E$37)</f>
        <v>0.56</v>
      </c>
      <c r="M35" s="13" t="str">
        <f aca="false">IF(AND(M$5&gt;=$F35,M$5&lt;$F35+$G35),1,"")</f>
        <v/>
      </c>
      <c r="N35" s="13" t="str">
        <f aca="false">IF(AND(N$5&gt;=$F35,N$5&lt;$F35+$G35),1,"")</f>
        <v/>
      </c>
      <c r="O35" s="13" t="n">
        <f aca="false">IF(AND(O$5&gt;=$F35,O$5&lt;$F35+$G35),1,"")</f>
        <v>1</v>
      </c>
      <c r="P35" s="13" t="n">
        <f aca="false">IF(AND(P$5&gt;=$F35,P$5&lt;$F35+$G35),1,"")</f>
        <v>1</v>
      </c>
      <c r="Q35" s="13" t="str">
        <f aca="false">IF(AND(Q$5&gt;=$F35,Q$5&lt;$F35+$G35),1,"")</f>
        <v/>
      </c>
      <c r="R35" s="13" t="str">
        <f aca="false">IF(AND(R$5&gt;=$F35,R$5&lt;$F35+$G35),1,"")</f>
        <v/>
      </c>
      <c r="S35" s="13" t="str">
        <f aca="false">IF(AND(S$5&gt;=$F35,S$5&lt;$F35+$G35),1,"")</f>
        <v/>
      </c>
      <c r="T35" s="13" t="str">
        <f aca="false">IF(AND(T$5&gt;=$F35,T$5&lt;$F35+$G35),1,"")</f>
        <v/>
      </c>
    </row>
    <row r="36" customFormat="false" ht="15" hidden="false" customHeight="true" outlineLevel="0" collapsed="false">
      <c r="A36" s="7" t="n">
        <v>31</v>
      </c>
      <c r="B36" s="8" t="s">
        <v>101</v>
      </c>
      <c r="C36" s="9" t="s">
        <v>107</v>
      </c>
      <c r="D36" s="9" t="s">
        <v>108</v>
      </c>
      <c r="E36" s="8" t="s">
        <v>109</v>
      </c>
      <c r="F36" s="10" t="n">
        <v>6</v>
      </c>
      <c r="G36" s="10" t="n">
        <v>2</v>
      </c>
      <c r="H36" s="7" t="n">
        <f aca="false">F36+G36-1</f>
        <v>7</v>
      </c>
      <c r="I36" s="11" t="s">
        <v>20</v>
      </c>
      <c r="J36" s="12" t="n">
        <f aca="false">SUMPRODUCT(($H$6:$H$41&lt;=$H36)*Aportes!$C$2:$C$37)</f>
        <v>1</v>
      </c>
      <c r="K36" s="12" t="n">
        <f aca="false">SUMPRODUCT(($H$6:$H$41&lt;=$H36)*Aportes!$D$2:$D$37)</f>
        <v>1</v>
      </c>
      <c r="L36" s="12" t="n">
        <f aca="false">SUMPRODUCT(($H$6:$H$41&lt;=$H36)*Aportes!$E$2:$E$37)</f>
        <v>1</v>
      </c>
      <c r="M36" s="13" t="str">
        <f aca="false">IF(AND(M$5&gt;=$F36,M$5&lt;$F36+$G36),1,"")</f>
        <v/>
      </c>
      <c r="N36" s="13" t="str">
        <f aca="false">IF(AND(N$5&gt;=$F36,N$5&lt;$F36+$G36),1,"")</f>
        <v/>
      </c>
      <c r="O36" s="13" t="str">
        <f aca="false">IF(AND(O$5&gt;=$F36,O$5&lt;$F36+$G36),1,"")</f>
        <v/>
      </c>
      <c r="P36" s="13" t="str">
        <f aca="false">IF(AND(P$5&gt;=$F36,P$5&lt;$F36+$G36),1,"")</f>
        <v/>
      </c>
      <c r="Q36" s="13" t="str">
        <f aca="false">IF(AND(Q$5&gt;=$F36,Q$5&lt;$F36+$G36),1,"")</f>
        <v/>
      </c>
      <c r="R36" s="13" t="n">
        <f aca="false">IF(AND(R$5&gt;=$F36,R$5&lt;$F36+$G36),1,"")</f>
        <v>1</v>
      </c>
      <c r="S36" s="13" t="n">
        <f aca="false">IF(AND(S$5&gt;=$F36,S$5&lt;$F36+$G36),1,"")</f>
        <v>1</v>
      </c>
      <c r="T36" s="13" t="str">
        <f aca="false">IF(AND(T$5&gt;=$F36,T$5&lt;$F36+$G36),1,"")</f>
        <v/>
      </c>
    </row>
    <row r="37" customFormat="false" ht="23.25" hidden="false" customHeight="true" outlineLevel="0" collapsed="false">
      <c r="A37" s="7" t="n">
        <v>32</v>
      </c>
      <c r="B37" s="8" t="s">
        <v>101</v>
      </c>
      <c r="C37" s="9" t="s">
        <v>110</v>
      </c>
      <c r="D37" s="9" t="s">
        <v>111</v>
      </c>
      <c r="E37" s="8" t="s">
        <v>112</v>
      </c>
      <c r="F37" s="10" t="n">
        <v>3</v>
      </c>
      <c r="G37" s="10" t="n">
        <v>2</v>
      </c>
      <c r="H37" s="7" t="n">
        <f aca="false">F37+G37-1</f>
        <v>4</v>
      </c>
      <c r="I37" s="11" t="s">
        <v>20</v>
      </c>
      <c r="J37" s="12" t="n">
        <f aca="false">SUMPRODUCT(($H$6:$H$41&lt;=$H37)*Aportes!$C$2:$C$37)</f>
        <v>0.57</v>
      </c>
      <c r="K37" s="12" t="n">
        <f aca="false">SUMPRODUCT(($H$6:$H$41&lt;=$H37)*Aportes!$D$2:$D$37)</f>
        <v>0.69</v>
      </c>
      <c r="L37" s="12" t="n">
        <f aca="false">SUMPRODUCT(($H$6:$H$41&lt;=$H37)*Aportes!$E$2:$E$37)</f>
        <v>0.56</v>
      </c>
      <c r="M37" s="13" t="str">
        <f aca="false">IF(AND(M$5&gt;=$F37,M$5&lt;$F37+$G37),1,"")</f>
        <v/>
      </c>
      <c r="N37" s="13" t="str">
        <f aca="false">IF(AND(N$5&gt;=$F37,N$5&lt;$F37+$G37),1,"")</f>
        <v/>
      </c>
      <c r="O37" s="13" t="n">
        <f aca="false">IF(AND(O$5&gt;=$F37,O$5&lt;$F37+$G37),1,"")</f>
        <v>1</v>
      </c>
      <c r="P37" s="13" t="n">
        <f aca="false">IF(AND(P$5&gt;=$F37,P$5&lt;$F37+$G37),1,"")</f>
        <v>1</v>
      </c>
      <c r="Q37" s="13" t="str">
        <f aca="false">IF(AND(Q$5&gt;=$F37,Q$5&lt;$F37+$G37),1,"")</f>
        <v/>
      </c>
      <c r="R37" s="13" t="str">
        <f aca="false">IF(AND(R$5&gt;=$F37,R$5&lt;$F37+$G37),1,"")</f>
        <v/>
      </c>
      <c r="S37" s="13" t="str">
        <f aca="false">IF(AND(S$5&gt;=$F37,S$5&lt;$F37+$G37),1,"")</f>
        <v/>
      </c>
      <c r="T37" s="13" t="str">
        <f aca="false">IF(AND(T$5&gt;=$F37,T$5&lt;$F37+$G37),1,"")</f>
        <v/>
      </c>
    </row>
    <row r="38" customFormat="false" ht="15" hidden="false" customHeight="true" outlineLevel="0" collapsed="false">
      <c r="A38" s="7" t="n">
        <v>33</v>
      </c>
      <c r="B38" s="8" t="s">
        <v>101</v>
      </c>
      <c r="C38" s="9" t="s">
        <v>113</v>
      </c>
      <c r="D38" s="9" t="s">
        <v>114</v>
      </c>
      <c r="E38" s="8" t="s">
        <v>115</v>
      </c>
      <c r="F38" s="10" t="n">
        <v>6</v>
      </c>
      <c r="G38" s="10" t="n">
        <v>2</v>
      </c>
      <c r="H38" s="7" t="n">
        <f aca="false">F38+G38-1</f>
        <v>7</v>
      </c>
      <c r="I38" s="11" t="s">
        <v>20</v>
      </c>
      <c r="J38" s="12" t="n">
        <f aca="false">SUMPRODUCT(($H$6:$H$41&lt;=$H38)*Aportes!$C$2:$C$37)</f>
        <v>1</v>
      </c>
      <c r="K38" s="12" t="n">
        <f aca="false">SUMPRODUCT(($H$6:$H$41&lt;=$H38)*Aportes!$D$2:$D$37)</f>
        <v>1</v>
      </c>
      <c r="L38" s="12" t="n">
        <f aca="false">SUMPRODUCT(($H$6:$H$41&lt;=$H38)*Aportes!$E$2:$E$37)</f>
        <v>1</v>
      </c>
      <c r="M38" s="13" t="str">
        <f aca="false">IF(AND(M$5&gt;=$F38,M$5&lt;$F38+$G38),1,"")</f>
        <v/>
      </c>
      <c r="N38" s="13" t="str">
        <f aca="false">IF(AND(N$5&gt;=$F38,N$5&lt;$F38+$G38),1,"")</f>
        <v/>
      </c>
      <c r="O38" s="13" t="str">
        <f aca="false">IF(AND(O$5&gt;=$F38,O$5&lt;$F38+$G38),1,"")</f>
        <v/>
      </c>
      <c r="P38" s="13" t="str">
        <f aca="false">IF(AND(P$5&gt;=$F38,P$5&lt;$F38+$G38),1,"")</f>
        <v/>
      </c>
      <c r="Q38" s="13" t="str">
        <f aca="false">IF(AND(Q$5&gt;=$F38,Q$5&lt;$F38+$G38),1,"")</f>
        <v/>
      </c>
      <c r="R38" s="13" t="n">
        <f aca="false">IF(AND(R$5&gt;=$F38,R$5&lt;$F38+$G38),1,"")</f>
        <v>1</v>
      </c>
      <c r="S38" s="13" t="n">
        <f aca="false">IF(AND(S$5&gt;=$F38,S$5&lt;$F38+$G38),1,"")</f>
        <v>1</v>
      </c>
      <c r="T38" s="13" t="str">
        <f aca="false">IF(AND(T$5&gt;=$F38,T$5&lt;$F38+$G38),1,"")</f>
        <v/>
      </c>
    </row>
    <row r="39" customFormat="false" ht="23.25" hidden="false" customHeight="true" outlineLevel="0" collapsed="false">
      <c r="A39" s="7" t="n">
        <v>34</v>
      </c>
      <c r="B39" s="8" t="s">
        <v>101</v>
      </c>
      <c r="C39" s="9" t="s">
        <v>116</v>
      </c>
      <c r="D39" s="9" t="s">
        <v>117</v>
      </c>
      <c r="E39" s="8" t="s">
        <v>118</v>
      </c>
      <c r="F39" s="10" t="n">
        <v>6</v>
      </c>
      <c r="G39" s="10" t="n">
        <v>2</v>
      </c>
      <c r="H39" s="7" t="n">
        <f aca="false">F39+G39-1</f>
        <v>7</v>
      </c>
      <c r="I39" s="7" t="s">
        <v>28</v>
      </c>
      <c r="J39" s="12" t="n">
        <f aca="false">SUMPRODUCT(($H$6:$H$41&lt;=$H39)*Aportes!$C$2:$C$37)</f>
        <v>1</v>
      </c>
      <c r="K39" s="12" t="n">
        <f aca="false">SUMPRODUCT(($H$6:$H$41&lt;=$H39)*Aportes!$D$2:$D$37)</f>
        <v>1</v>
      </c>
      <c r="L39" s="12" t="n">
        <f aca="false">SUMPRODUCT(($H$6:$H$41&lt;=$H39)*Aportes!$E$2:$E$37)</f>
        <v>1</v>
      </c>
      <c r="M39" s="13" t="str">
        <f aca="false">IF(AND(M$5&gt;=$F39,M$5&lt;$F39+$G39),1,"")</f>
        <v/>
      </c>
      <c r="N39" s="13" t="str">
        <f aca="false">IF(AND(N$5&gt;=$F39,N$5&lt;$F39+$G39),1,"")</f>
        <v/>
      </c>
      <c r="O39" s="13" t="str">
        <f aca="false">IF(AND(O$5&gt;=$F39,O$5&lt;$F39+$G39),1,"")</f>
        <v/>
      </c>
      <c r="P39" s="13" t="str">
        <f aca="false">IF(AND(P$5&gt;=$F39,P$5&lt;$F39+$G39),1,"")</f>
        <v/>
      </c>
      <c r="Q39" s="13" t="str">
        <f aca="false">IF(AND(Q$5&gt;=$F39,Q$5&lt;$F39+$G39),1,"")</f>
        <v/>
      </c>
      <c r="R39" s="13" t="n">
        <f aca="false">IF(AND(R$5&gt;=$F39,R$5&lt;$F39+$G39),1,"")</f>
        <v>1</v>
      </c>
      <c r="S39" s="13" t="n">
        <f aca="false">IF(AND(S$5&gt;=$F39,S$5&lt;$F39+$G39),1,"")</f>
        <v>1</v>
      </c>
      <c r="T39" s="13" t="str">
        <f aca="false">IF(AND(T$5&gt;=$F39,T$5&lt;$F39+$G39),1,"")</f>
        <v/>
      </c>
    </row>
    <row r="40" customFormat="false" ht="15" hidden="false" customHeight="true" outlineLevel="0" collapsed="false">
      <c r="A40" s="7" t="n">
        <v>35</v>
      </c>
      <c r="B40" s="8" t="s">
        <v>101</v>
      </c>
      <c r="C40" s="9" t="s">
        <v>119</v>
      </c>
      <c r="D40" s="9" t="s">
        <v>120</v>
      </c>
      <c r="E40" s="8" t="s">
        <v>121</v>
      </c>
      <c r="F40" s="10" t="n">
        <v>7</v>
      </c>
      <c r="G40" s="10" t="n">
        <v>1</v>
      </c>
      <c r="H40" s="7" t="n">
        <f aca="false">F40+G40-1</f>
        <v>7</v>
      </c>
      <c r="I40" s="11" t="s">
        <v>20</v>
      </c>
      <c r="J40" s="12" t="n">
        <f aca="false">SUMPRODUCT(($H$6:$H$41&lt;=$H40)*Aportes!$C$2:$C$37)</f>
        <v>1</v>
      </c>
      <c r="K40" s="12" t="n">
        <f aca="false">SUMPRODUCT(($H$6:$H$41&lt;=$H40)*Aportes!$D$2:$D$37)</f>
        <v>1</v>
      </c>
      <c r="L40" s="12" t="n">
        <f aca="false">SUMPRODUCT(($H$6:$H$41&lt;=$H40)*Aportes!$E$2:$E$37)</f>
        <v>1</v>
      </c>
      <c r="M40" s="13" t="str">
        <f aca="false">IF(AND(M$5&gt;=$F40,M$5&lt;$F40+$G40),1,"")</f>
        <v/>
      </c>
      <c r="N40" s="13" t="str">
        <f aca="false">IF(AND(N$5&gt;=$F40,N$5&lt;$F40+$G40),1,"")</f>
        <v/>
      </c>
      <c r="O40" s="13" t="str">
        <f aca="false">IF(AND(O$5&gt;=$F40,O$5&lt;$F40+$G40),1,"")</f>
        <v/>
      </c>
      <c r="P40" s="13" t="str">
        <f aca="false">IF(AND(P$5&gt;=$F40,P$5&lt;$F40+$G40),1,"")</f>
        <v/>
      </c>
      <c r="Q40" s="13" t="str">
        <f aca="false">IF(AND(Q$5&gt;=$F40,Q$5&lt;$F40+$G40),1,"")</f>
        <v/>
      </c>
      <c r="R40" s="13" t="str">
        <f aca="false">IF(AND(R$5&gt;=$F40,R$5&lt;$F40+$G40),1,"")</f>
        <v/>
      </c>
      <c r="S40" s="13" t="n">
        <f aca="false">IF(AND(S$5&gt;=$F40,S$5&lt;$F40+$G40),1,"")</f>
        <v>1</v>
      </c>
      <c r="T40" s="13" t="str">
        <f aca="false">IF(AND(T$5&gt;=$F40,T$5&lt;$F40+$G40),1,"")</f>
        <v/>
      </c>
    </row>
    <row r="41" customFormat="false" ht="15" hidden="false" customHeight="true" outlineLevel="0" collapsed="false">
      <c r="A41" s="7" t="n">
        <v>36</v>
      </c>
      <c r="B41" s="8" t="s">
        <v>122</v>
      </c>
      <c r="C41" s="9" t="s">
        <v>123</v>
      </c>
      <c r="D41" s="9" t="s">
        <v>124</v>
      </c>
      <c r="E41" s="8" t="s">
        <v>125</v>
      </c>
      <c r="F41" s="10" t="n">
        <v>8</v>
      </c>
      <c r="G41" s="10" t="n">
        <v>1</v>
      </c>
      <c r="H41" s="7" t="n">
        <f aca="false">F41+G41-1</f>
        <v>8</v>
      </c>
      <c r="I41" s="11" t="s">
        <v>20</v>
      </c>
      <c r="J41" s="12" t="n">
        <f aca="false">SUMPRODUCT(($H$6:$H$41&lt;=$H41)*Aportes!$C$2:$C$37)</f>
        <v>1</v>
      </c>
      <c r="K41" s="12" t="n">
        <f aca="false">SUMPRODUCT(($H$6:$H$41&lt;=$H41)*Aportes!$D$2:$D$37)</f>
        <v>1</v>
      </c>
      <c r="L41" s="12" t="n">
        <f aca="false">SUMPRODUCT(($H$6:$H$41&lt;=$H41)*Aportes!$E$2:$E$37)</f>
        <v>1</v>
      </c>
      <c r="M41" s="13" t="str">
        <f aca="false">IF(AND(M$5&gt;=$F41,M$5&lt;$F41+$G41),1,"")</f>
        <v/>
      </c>
      <c r="N41" s="13" t="str">
        <f aca="false">IF(AND(N$5&gt;=$F41,N$5&lt;$F41+$G41),1,"")</f>
        <v/>
      </c>
      <c r="O41" s="13" t="str">
        <f aca="false">IF(AND(O$5&gt;=$F41,O$5&lt;$F41+$G41),1,"")</f>
        <v/>
      </c>
      <c r="P41" s="13" t="str">
        <f aca="false">IF(AND(P$5&gt;=$F41,P$5&lt;$F41+$G41),1,"")</f>
        <v/>
      </c>
      <c r="Q41" s="13" t="str">
        <f aca="false">IF(AND(Q$5&gt;=$F41,Q$5&lt;$F41+$G41),1,"")</f>
        <v/>
      </c>
      <c r="R41" s="13" t="str">
        <f aca="false">IF(AND(R$5&gt;=$F41,R$5&lt;$F41+$G41),1,"")</f>
        <v/>
      </c>
      <c r="S41" s="13" t="str">
        <f aca="false">IF(AND(S$5&gt;=$F41,S$5&lt;$F41+$G41),1,"")</f>
        <v/>
      </c>
      <c r="T41" s="13" t="n">
        <f aca="false">IF(AND(T$5&gt;=$F41,T$5&lt;$F41+$G41),1,"")</f>
        <v>1</v>
      </c>
    </row>
    <row r="43" customFormat="false" ht="15" hidden="false" customHeight="true" outlineLevel="0" collapsed="false">
      <c r="A43" s="4" t="s">
        <v>126</v>
      </c>
    </row>
    <row r="44" customFormat="false" ht="15" hidden="false" customHeight="true" outlineLevel="0" collapsed="false">
      <c r="A44" s="14" t="s">
        <v>127</v>
      </c>
    </row>
    <row r="45" customFormat="false" ht="15" hidden="false" customHeight="true" outlineLevel="0" collapsed="false">
      <c r="A45" s="14" t="s">
        <v>128</v>
      </c>
    </row>
    <row r="46" customFormat="false" ht="15" hidden="false" customHeight="true" outlineLevel="0" collapsed="false">
      <c r="A46" s="14"/>
    </row>
    <row r="47" customFormat="false" ht="15" hidden="false" customHeight="true" outlineLevel="0" collapsed="false">
      <c r="A47" s="4" t="s">
        <v>129</v>
      </c>
    </row>
    <row r="48" customFormat="false" ht="15" hidden="false" customHeight="true" outlineLevel="0" collapsed="false">
      <c r="A48" s="14" t="s">
        <v>130</v>
      </c>
    </row>
    <row r="49" customFormat="false" ht="15" hidden="false" customHeight="true" outlineLevel="0" collapsed="false">
      <c r="A49" s="14" t="s">
        <v>131</v>
      </c>
    </row>
    <row r="50" customFormat="false" ht="15" hidden="false" customHeight="true" outlineLevel="0" collapsed="false">
      <c r="A50" s="14" t="s">
        <v>132</v>
      </c>
    </row>
    <row r="51" customFormat="false" ht="15" hidden="false" customHeight="true" outlineLevel="0" collapsed="false">
      <c r="A51" s="14" t="s">
        <v>133</v>
      </c>
    </row>
    <row r="52" customFormat="false" ht="15" hidden="false" customHeight="true" outlineLevel="0" collapsed="false">
      <c r="A52" s="14" t="s">
        <v>134</v>
      </c>
    </row>
    <row r="53" customFormat="false" ht="15" hidden="false" customHeight="true" outlineLevel="0" collapsed="false">
      <c r="A53" s="14" t="s">
        <v>135</v>
      </c>
    </row>
    <row r="54" customFormat="false" ht="15" hidden="false" customHeight="true" outlineLevel="0" collapsed="false">
      <c r="A54" s="14" t="s">
        <v>136</v>
      </c>
    </row>
    <row r="55" customFormat="false" ht="15" hidden="false" customHeight="true" outlineLevel="0" collapsed="false">
      <c r="A55" s="14"/>
    </row>
    <row r="56" customFormat="false" ht="15" hidden="false" customHeight="true" outlineLevel="0" collapsed="false">
      <c r="A56" s="4" t="s">
        <v>137</v>
      </c>
    </row>
    <row r="57" customFormat="false" ht="15" hidden="false" customHeight="true" outlineLevel="0" collapsed="false">
      <c r="A57" s="14" t="s">
        <v>138</v>
      </c>
    </row>
    <row r="58" customFormat="false" ht="15" hidden="false" customHeight="true" outlineLevel="0" collapsed="false">
      <c r="A58" s="14" t="s">
        <v>139</v>
      </c>
    </row>
    <row r="59" customFormat="false" ht="15" hidden="false" customHeight="true" outlineLevel="0" collapsed="false">
      <c r="A59" s="14" t="s">
        <v>140</v>
      </c>
    </row>
  </sheetData>
  <conditionalFormatting sqref="M6:T41">
    <cfRule type="expression" priority="2" aboveAverage="0" equalAverage="0" bottom="0" percent="0" rank="0" text="" dxfId="0">
      <formula>AND(M6=1,$B6="F8. Colchon")</formula>
    </cfRule>
    <cfRule type="expression" priority="3" aboveAverage="0" equalAverage="0" bottom="0" percent="0" rank="0" text="" dxfId="1">
      <formula>AND(M6=1,$I6="Si")</formula>
    </cfRule>
    <cfRule type="expression" priority="4" aboveAverage="0" equalAverage="0" bottom="0" percent="0" rank="0" text="" dxfId="2">
      <formula>AND(M6=1,$I6="No")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86"/>
  </cols>
  <sheetData>
    <row r="1" customFormat="false" ht="18.55" hidden="false" customHeight="false" outlineLevel="0" collapsed="false">
      <c r="A1" s="15" t="s">
        <v>141</v>
      </c>
    </row>
    <row r="2" customFormat="false" ht="15" hidden="false" customHeight="false" outlineLevel="0" collapsed="false">
      <c r="A2" s="16" t="s">
        <v>142</v>
      </c>
    </row>
    <row r="4" customFormat="false" ht="15" hidden="false" customHeight="false" outlineLevel="0" collapsed="false">
      <c r="A4" s="17" t="s">
        <v>143</v>
      </c>
    </row>
    <row r="5" customFormat="false" ht="25.5" hidden="false" customHeight="true" outlineLevel="0" collapsed="false">
      <c r="A5" s="18" t="s">
        <v>144</v>
      </c>
      <c r="B5" s="18" t="s">
        <v>145</v>
      </c>
      <c r="C5" s="18" t="s">
        <v>146</v>
      </c>
      <c r="D5" s="18" t="s">
        <v>147</v>
      </c>
    </row>
    <row r="6" customFormat="false" ht="45.75" hidden="false" customHeight="true" outlineLevel="0" collapsed="false">
      <c r="A6" s="19" t="s">
        <v>148</v>
      </c>
      <c r="B6" s="20"/>
      <c r="C6" s="21" t="s">
        <v>149</v>
      </c>
      <c r="D6" s="21" t="s">
        <v>150</v>
      </c>
    </row>
    <row r="7" customFormat="false" ht="45.75" hidden="false" customHeight="true" outlineLevel="0" collapsed="false">
      <c r="A7" s="19" t="s">
        <v>151</v>
      </c>
      <c r="B7" s="20"/>
      <c r="C7" s="21" t="s">
        <v>152</v>
      </c>
      <c r="D7" s="21" t="s">
        <v>153</v>
      </c>
    </row>
    <row r="8" customFormat="false" ht="45.75" hidden="false" customHeight="true" outlineLevel="0" collapsed="false">
      <c r="A8" s="19" t="s">
        <v>154</v>
      </c>
      <c r="B8" s="20"/>
      <c r="C8" s="21" t="s">
        <v>155</v>
      </c>
      <c r="D8" s="21" t="s">
        <v>156</v>
      </c>
    </row>
    <row r="9" customFormat="false" ht="45.75" hidden="false" customHeight="true" outlineLevel="0" collapsed="false">
      <c r="A9" s="19" t="s">
        <v>157</v>
      </c>
      <c r="B9" s="20"/>
      <c r="C9" s="21" t="s">
        <v>158</v>
      </c>
      <c r="D9" s="21" t="s">
        <v>159</v>
      </c>
    </row>
    <row r="10" customFormat="false" ht="45.75" hidden="false" customHeight="true" outlineLevel="0" collapsed="false">
      <c r="A10" s="19" t="s">
        <v>160</v>
      </c>
      <c r="B10" s="20"/>
      <c r="C10" s="21" t="s">
        <v>161</v>
      </c>
      <c r="D10" s="21" t="s">
        <v>162</v>
      </c>
    </row>
    <row r="13" customFormat="false" ht="15" hidden="false" customHeight="false" outlineLevel="0" collapsed="false">
      <c r="A13" s="17" t="s">
        <v>163</v>
      </c>
    </row>
    <row r="14" customFormat="false" ht="15" hidden="false" customHeight="false" outlineLevel="0" collapsed="false">
      <c r="A14" s="22" t="s">
        <v>164</v>
      </c>
    </row>
    <row r="15" customFormat="false" ht="25.5" hidden="false" customHeight="true" outlineLevel="0" collapsed="false">
      <c r="A15" s="18" t="s">
        <v>5</v>
      </c>
      <c r="B15" s="18" t="s">
        <v>165</v>
      </c>
      <c r="C15" s="18" t="s">
        <v>166</v>
      </c>
      <c r="D15" s="18" t="s">
        <v>167</v>
      </c>
    </row>
    <row r="16" customFormat="false" ht="31.5" hidden="false" customHeight="true" outlineLevel="0" collapsed="false">
      <c r="A16" s="19" t="s">
        <v>16</v>
      </c>
      <c r="B16" s="21" t="s">
        <v>168</v>
      </c>
      <c r="C16" s="21" t="s">
        <v>169</v>
      </c>
      <c r="D16" s="21" t="s">
        <v>170</v>
      </c>
    </row>
    <row r="17" customFormat="false" ht="31.5" hidden="false" customHeight="true" outlineLevel="0" collapsed="false">
      <c r="A17" s="19" t="s">
        <v>25</v>
      </c>
      <c r="B17" s="21" t="s">
        <v>171</v>
      </c>
      <c r="C17" s="21" t="s">
        <v>151</v>
      </c>
      <c r="D17" s="21" t="s">
        <v>172</v>
      </c>
    </row>
    <row r="18" customFormat="false" ht="31.5" hidden="false" customHeight="true" outlineLevel="0" collapsed="false">
      <c r="A18" s="19" t="s">
        <v>40</v>
      </c>
      <c r="B18" s="21" t="s">
        <v>173</v>
      </c>
      <c r="C18" s="21" t="s">
        <v>151</v>
      </c>
      <c r="D18" s="21" t="s">
        <v>174</v>
      </c>
    </row>
    <row r="19" customFormat="false" ht="31.5" hidden="false" customHeight="true" outlineLevel="0" collapsed="false">
      <c r="A19" s="19" t="s">
        <v>49</v>
      </c>
      <c r="B19" s="21" t="s">
        <v>175</v>
      </c>
      <c r="C19" s="21" t="s">
        <v>151</v>
      </c>
      <c r="D19" s="21" t="s">
        <v>176</v>
      </c>
    </row>
    <row r="20" customFormat="false" ht="31.5" hidden="false" customHeight="true" outlineLevel="0" collapsed="false">
      <c r="A20" s="19" t="s">
        <v>59</v>
      </c>
      <c r="B20" s="21" t="s">
        <v>177</v>
      </c>
      <c r="C20" s="21" t="s">
        <v>154</v>
      </c>
      <c r="D20" s="21" t="s">
        <v>178</v>
      </c>
    </row>
    <row r="21" customFormat="false" ht="31.5" hidden="false" customHeight="true" outlineLevel="0" collapsed="false">
      <c r="A21" s="19" t="s">
        <v>72</v>
      </c>
      <c r="B21" s="21" t="s">
        <v>179</v>
      </c>
      <c r="C21" s="21" t="s">
        <v>154</v>
      </c>
      <c r="D21" s="21" t="s">
        <v>180</v>
      </c>
    </row>
    <row r="22" customFormat="false" ht="31.5" hidden="false" customHeight="true" outlineLevel="0" collapsed="false">
      <c r="A22" s="19" t="s">
        <v>88</v>
      </c>
      <c r="B22" s="21" t="s">
        <v>181</v>
      </c>
      <c r="C22" s="21" t="s">
        <v>182</v>
      </c>
      <c r="D22" s="21" t="s">
        <v>183</v>
      </c>
    </row>
    <row r="23" customFormat="false" ht="31.5" hidden="false" customHeight="true" outlineLevel="0" collapsed="false">
      <c r="A23" s="19" t="s">
        <v>101</v>
      </c>
      <c r="B23" s="21" t="s">
        <v>184</v>
      </c>
      <c r="C23" s="21" t="s">
        <v>185</v>
      </c>
      <c r="D23" s="21" t="s">
        <v>186</v>
      </c>
    </row>
    <row r="24" customFormat="false" ht="31.5" hidden="false" customHeight="true" outlineLevel="0" collapsed="false">
      <c r="A24" s="19" t="s">
        <v>122</v>
      </c>
      <c r="B24" s="21" t="s">
        <v>187</v>
      </c>
      <c r="C24" s="21" t="s">
        <v>148</v>
      </c>
      <c r="D24" s="21" t="s">
        <v>188</v>
      </c>
    </row>
    <row r="27" customFormat="false" ht="15" hidden="false" customHeight="false" outlineLevel="0" collapsed="false">
      <c r="A27" s="17" t="s">
        <v>189</v>
      </c>
    </row>
    <row r="28" customFormat="false" ht="15" hidden="false" customHeight="false" outlineLevel="0" collapsed="false">
      <c r="A28" s="22" t="s">
        <v>190</v>
      </c>
    </row>
    <row r="29" customFormat="false" ht="25.5" hidden="false" customHeight="true" outlineLevel="0" collapsed="false">
      <c r="A29" s="18" t="s">
        <v>3</v>
      </c>
      <c r="B29" s="18" t="s">
        <v>191</v>
      </c>
      <c r="C29" s="18" t="s">
        <v>192</v>
      </c>
    </row>
    <row r="30" customFormat="false" ht="30" hidden="false" customHeight="true" outlineLevel="0" collapsed="false">
      <c r="A30" s="19" t="s">
        <v>193</v>
      </c>
      <c r="B30" s="21" t="s">
        <v>194</v>
      </c>
      <c r="C30" s="21" t="s">
        <v>195</v>
      </c>
    </row>
    <row r="31" customFormat="false" ht="30" hidden="false" customHeight="true" outlineLevel="0" collapsed="false">
      <c r="A31" s="19" t="s">
        <v>193</v>
      </c>
      <c r="B31" s="21" t="s">
        <v>196</v>
      </c>
      <c r="C31" s="21" t="s">
        <v>197</v>
      </c>
    </row>
    <row r="32" customFormat="false" ht="30" hidden="false" customHeight="true" outlineLevel="0" collapsed="false">
      <c r="A32" s="19" t="s">
        <v>198</v>
      </c>
      <c r="B32" s="21" t="s">
        <v>199</v>
      </c>
      <c r="C32" s="21" t="s">
        <v>200</v>
      </c>
    </row>
    <row r="33" customFormat="false" ht="30" hidden="false" customHeight="true" outlineLevel="0" collapsed="false">
      <c r="A33" s="19" t="s">
        <v>201</v>
      </c>
      <c r="B33" s="21" t="s">
        <v>202</v>
      </c>
      <c r="C33" s="21" t="s">
        <v>203</v>
      </c>
    </row>
    <row r="34" customFormat="false" ht="30" hidden="false" customHeight="true" outlineLevel="0" collapsed="false">
      <c r="A34" s="19" t="s">
        <v>31</v>
      </c>
      <c r="B34" s="21" t="s">
        <v>204</v>
      </c>
      <c r="C34" s="21" t="s">
        <v>205</v>
      </c>
    </row>
    <row r="35" customFormat="false" ht="30" hidden="false" customHeight="true" outlineLevel="0" collapsed="false">
      <c r="A35" s="19" t="s">
        <v>206</v>
      </c>
      <c r="B35" s="21" t="s">
        <v>207</v>
      </c>
      <c r="C35" s="21" t="s">
        <v>208</v>
      </c>
    </row>
    <row r="36" customFormat="false" ht="30" hidden="false" customHeight="true" outlineLevel="0" collapsed="false">
      <c r="A36" s="19" t="s">
        <v>36</v>
      </c>
      <c r="B36" s="21" t="s">
        <v>209</v>
      </c>
      <c r="C36" s="21" t="s">
        <v>210</v>
      </c>
    </row>
    <row r="37" customFormat="false" ht="30" hidden="false" customHeight="true" outlineLevel="0" collapsed="false">
      <c r="A37" s="19" t="s">
        <v>211</v>
      </c>
      <c r="B37" s="21" t="s">
        <v>212</v>
      </c>
      <c r="C37" s="21" t="s">
        <v>213</v>
      </c>
    </row>
    <row r="40" customFormat="false" ht="15" hidden="false" customHeight="false" outlineLevel="0" collapsed="false">
      <c r="A40" s="17" t="s">
        <v>214</v>
      </c>
    </row>
    <row r="41" customFormat="false" ht="15" hidden="false" customHeight="false" outlineLevel="0" collapsed="false">
      <c r="A41" s="23" t="s">
        <v>215</v>
      </c>
    </row>
    <row r="42" customFormat="false" ht="15" hidden="false" customHeight="false" outlineLevel="0" collapsed="false">
      <c r="A42" s="23" t="s">
        <v>216</v>
      </c>
    </row>
    <row r="43" customFormat="false" ht="15" hidden="false" customHeight="false" outlineLevel="0" collapsed="false">
      <c r="A43" s="23" t="s">
        <v>217</v>
      </c>
    </row>
    <row r="44" customFormat="false" ht="15" hidden="false" customHeight="false" outlineLevel="0" collapsed="false">
      <c r="A44" s="23" t="s">
        <v>218</v>
      </c>
    </row>
    <row r="45" customFormat="false" ht="15" hidden="false" customHeight="false" outlineLevel="0" collapsed="false">
      <c r="A45" s="23" t="s">
        <v>219</v>
      </c>
    </row>
    <row r="46" customFormat="false" ht="15" hidden="false" customHeight="false" outlineLevel="0" collapsed="false">
      <c r="A46" s="23" t="s">
        <v>220</v>
      </c>
    </row>
    <row r="48" customFormat="false" ht="15" hidden="false" customHeight="false" outlineLevel="0" collapsed="false">
      <c r="A48" s="17" t="s">
        <v>221</v>
      </c>
    </row>
    <row r="49" customFormat="false" ht="25.5" hidden="false" customHeight="true" outlineLevel="0" collapsed="false">
      <c r="A49" s="18" t="s">
        <v>222</v>
      </c>
      <c r="B49" s="18" t="s">
        <v>223</v>
      </c>
      <c r="C49" s="18" t="s">
        <v>224</v>
      </c>
      <c r="D49" s="18" t="s">
        <v>225</v>
      </c>
    </row>
    <row r="50" customFormat="false" ht="15" hidden="false" customHeight="false" outlineLevel="0" collapsed="false">
      <c r="A50" s="19" t="s">
        <v>226</v>
      </c>
      <c r="B50" s="21" t="s">
        <v>227</v>
      </c>
      <c r="C50" s="21" t="s">
        <v>19</v>
      </c>
      <c r="D50" s="21" t="s">
        <v>228</v>
      </c>
    </row>
    <row r="51" customFormat="false" ht="15" hidden="false" customHeight="false" outlineLevel="0" collapsed="false">
      <c r="A51" s="19" t="s">
        <v>229</v>
      </c>
      <c r="B51" s="21" t="s">
        <v>230</v>
      </c>
      <c r="C51" s="21" t="s">
        <v>231</v>
      </c>
      <c r="D51" s="21" t="s">
        <v>232</v>
      </c>
    </row>
    <row r="52" customFormat="false" ht="15" hidden="false" customHeight="false" outlineLevel="0" collapsed="false">
      <c r="A52" s="19" t="s">
        <v>158</v>
      </c>
      <c r="B52" s="21" t="s">
        <v>19</v>
      </c>
      <c r="C52" s="21" t="s">
        <v>233</v>
      </c>
      <c r="D52" s="21" t="s">
        <v>234</v>
      </c>
    </row>
    <row r="53" customFormat="false" ht="15" hidden="false" customHeight="false" outlineLevel="0" collapsed="false">
      <c r="A53" s="19" t="s">
        <v>161</v>
      </c>
      <c r="B53" s="21" t="s">
        <v>19</v>
      </c>
      <c r="C53" s="21" t="s">
        <v>235</v>
      </c>
      <c r="D53" s="21" t="s">
        <v>236</v>
      </c>
    </row>
    <row r="55" customFormat="false" ht="15" hidden="false" customHeight="false" outlineLevel="0" collapsed="false">
      <c r="A55" s="16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62"/>
    <col collapsed="false" customWidth="true" hidden="false" outlineLevel="0" max="4" min="4" style="1" width="26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7"/>
    <col collapsed="false" customWidth="true" hidden="false" outlineLevel="0" max="10" min="9" style="1" width="9"/>
    <col collapsed="false" customWidth="true" hidden="false" outlineLevel="0" max="18" min="11" style="1" width="4.6"/>
  </cols>
  <sheetData>
    <row r="1" customFormat="false" ht="17.25" hidden="false" customHeight="true" outlineLevel="0" collapsed="false">
      <c r="A1" s="2" t="s">
        <v>238</v>
      </c>
    </row>
    <row r="2" customFormat="false" ht="15" hidden="false" customHeight="true" outlineLevel="0" collapsed="false">
      <c r="A2" s="3" t="s">
        <v>239</v>
      </c>
    </row>
    <row r="3" customFormat="false" ht="15" hidden="false" customHeight="true" outlineLevel="0" collapsed="false">
      <c r="J3" s="4" t="s">
        <v>3</v>
      </c>
    </row>
    <row r="4" customFormat="false" ht="30" hidden="false" customHeight="true" outlineLevel="0" collapsed="false">
      <c r="A4" s="5" t="s">
        <v>4</v>
      </c>
      <c r="B4" s="5" t="s">
        <v>240</v>
      </c>
      <c r="C4" s="5" t="s">
        <v>241</v>
      </c>
      <c r="D4" s="5" t="s">
        <v>242</v>
      </c>
      <c r="E4" s="5" t="s">
        <v>243</v>
      </c>
      <c r="F4" s="5" t="s">
        <v>9</v>
      </c>
      <c r="G4" s="5" t="s">
        <v>10</v>
      </c>
      <c r="H4" s="5" t="s">
        <v>11</v>
      </c>
      <c r="I4" s="5" t="s">
        <v>12</v>
      </c>
      <c r="J4" s="6" t="n">
        <v>1</v>
      </c>
      <c r="K4" s="6" t="n">
        <v>2</v>
      </c>
      <c r="L4" s="6" t="n">
        <v>3</v>
      </c>
      <c r="M4" s="6" t="n">
        <v>4</v>
      </c>
      <c r="N4" s="6" t="n">
        <v>5</v>
      </c>
      <c r="O4" s="6" t="n">
        <v>6</v>
      </c>
      <c r="P4" s="6" t="n">
        <v>7</v>
      </c>
      <c r="Q4" s="6" t="n">
        <v>8</v>
      </c>
    </row>
    <row r="5" customFormat="false" ht="15" hidden="false" customHeight="true" outlineLevel="0" collapsed="false">
      <c r="A5" s="7" t="n">
        <v>1</v>
      </c>
      <c r="B5" s="8" t="s">
        <v>244</v>
      </c>
      <c r="C5" s="9" t="s">
        <v>245</v>
      </c>
      <c r="D5" s="9" t="s">
        <v>246</v>
      </c>
      <c r="E5" s="7" t="n">
        <v>3</v>
      </c>
      <c r="F5" s="10" t="n">
        <v>6</v>
      </c>
      <c r="G5" s="10" t="n">
        <v>1</v>
      </c>
      <c r="H5" s="7" t="n">
        <f aca="false">F5+G5-1</f>
        <v>6</v>
      </c>
      <c r="I5" s="11" t="s">
        <v>20</v>
      </c>
      <c r="J5" s="13" t="str">
        <f aca="false">IF(AND(J$4&gt;=$F5,J$4&lt;$F5+$G5),1,"")</f>
        <v/>
      </c>
      <c r="K5" s="13" t="str">
        <f aca="false">IF(AND(K$4&gt;=$F5,K$4&lt;$F5+$G5),1,"")</f>
        <v/>
      </c>
      <c r="L5" s="13" t="str">
        <f aca="false">IF(AND(L$4&gt;=$F5,L$4&lt;$F5+$G5),1,"")</f>
        <v/>
      </c>
      <c r="M5" s="13" t="str">
        <f aca="false">IF(AND(M$4&gt;=$F5,M$4&lt;$F5+$G5),1,"")</f>
        <v/>
      </c>
      <c r="N5" s="13" t="str">
        <f aca="false">IF(AND(N$4&gt;=$F5,N$4&lt;$F5+$G5),1,"")</f>
        <v/>
      </c>
      <c r="O5" s="13" t="n">
        <f aca="false">IF(AND(O$4&gt;=$F5,O$4&lt;$F5+$G5),1,"")</f>
        <v>1</v>
      </c>
      <c r="P5" s="13" t="str">
        <f aca="false">IF(AND(P$4&gt;=$F5,P$4&lt;$F5+$G5),1,"")</f>
        <v/>
      </c>
      <c r="Q5" s="13" t="str">
        <f aca="false">IF(AND(Q$4&gt;=$F5,Q$4&lt;$F5+$G5),1,"")</f>
        <v/>
      </c>
    </row>
    <row r="6" customFormat="false" ht="15" hidden="false" customHeight="true" outlineLevel="0" collapsed="false">
      <c r="A6" s="7" t="n">
        <v>2</v>
      </c>
      <c r="B6" s="8" t="s">
        <v>247</v>
      </c>
      <c r="C6" s="9" t="s">
        <v>248</v>
      </c>
      <c r="D6" s="9" t="s">
        <v>249</v>
      </c>
      <c r="E6" s="7" t="n">
        <v>12</v>
      </c>
      <c r="F6" s="10" t="n">
        <v>3</v>
      </c>
      <c r="G6" s="10" t="n">
        <v>1</v>
      </c>
      <c r="H6" s="7" t="n">
        <f aca="false">F6+G6-1</f>
        <v>3</v>
      </c>
      <c r="I6" s="11" t="s">
        <v>20</v>
      </c>
      <c r="J6" s="13" t="str">
        <f aca="false">IF(AND(J$4&gt;=$F6,J$4&lt;$F6+$G6),1,"")</f>
        <v/>
      </c>
      <c r="K6" s="13" t="str">
        <f aca="false">IF(AND(K$4&gt;=$F6,K$4&lt;$F6+$G6),1,"")</f>
        <v/>
      </c>
      <c r="L6" s="13" t="n">
        <f aca="false">IF(AND(L$4&gt;=$F6,L$4&lt;$F6+$G6),1,"")</f>
        <v>1</v>
      </c>
      <c r="M6" s="13" t="str">
        <f aca="false">IF(AND(M$4&gt;=$F6,M$4&lt;$F6+$G6),1,"")</f>
        <v/>
      </c>
      <c r="N6" s="13" t="str">
        <f aca="false">IF(AND(N$4&gt;=$F6,N$4&lt;$F6+$G6),1,"")</f>
        <v/>
      </c>
      <c r="O6" s="13" t="str">
        <f aca="false">IF(AND(O$4&gt;=$F6,O$4&lt;$F6+$G6),1,"")</f>
        <v/>
      </c>
      <c r="P6" s="13" t="str">
        <f aca="false">IF(AND(P$4&gt;=$F6,P$4&lt;$F6+$G6),1,"")</f>
        <v/>
      </c>
      <c r="Q6" s="13" t="str">
        <f aca="false">IF(AND(Q$4&gt;=$F6,Q$4&lt;$F6+$G6),1,"")</f>
        <v/>
      </c>
    </row>
    <row r="7" customFormat="false" ht="15" hidden="false" customHeight="true" outlineLevel="0" collapsed="false">
      <c r="A7" s="7" t="n">
        <v>3</v>
      </c>
      <c r="B7" s="8" t="s">
        <v>247</v>
      </c>
      <c r="C7" s="9" t="s">
        <v>250</v>
      </c>
      <c r="D7" s="9" t="s">
        <v>249</v>
      </c>
      <c r="E7" s="7" t="n">
        <v>1</v>
      </c>
      <c r="F7" s="10" t="n">
        <v>3</v>
      </c>
      <c r="G7" s="10" t="n">
        <v>1</v>
      </c>
      <c r="H7" s="7" t="n">
        <f aca="false">F7+G7-1</f>
        <v>3</v>
      </c>
      <c r="I7" s="11" t="s">
        <v>20</v>
      </c>
      <c r="J7" s="13" t="str">
        <f aca="false">IF(AND(J$4&gt;=$F7,J$4&lt;$F7+$G7),1,"")</f>
        <v/>
      </c>
      <c r="K7" s="13" t="str">
        <f aca="false">IF(AND(K$4&gt;=$F7,K$4&lt;$F7+$G7),1,"")</f>
        <v/>
      </c>
      <c r="L7" s="13" t="n">
        <f aca="false">IF(AND(L$4&gt;=$F7,L$4&lt;$F7+$G7),1,"")</f>
        <v>1</v>
      </c>
      <c r="M7" s="13" t="str">
        <f aca="false">IF(AND(M$4&gt;=$F7,M$4&lt;$F7+$G7),1,"")</f>
        <v/>
      </c>
      <c r="N7" s="13" t="str">
        <f aca="false">IF(AND(N$4&gt;=$F7,N$4&lt;$F7+$G7),1,"")</f>
        <v/>
      </c>
      <c r="O7" s="13" t="str">
        <f aca="false">IF(AND(O$4&gt;=$F7,O$4&lt;$F7+$G7),1,"")</f>
        <v/>
      </c>
      <c r="P7" s="13" t="str">
        <f aca="false">IF(AND(P$4&gt;=$F7,P$4&lt;$F7+$G7),1,"")</f>
        <v/>
      </c>
      <c r="Q7" s="13" t="str">
        <f aca="false">IF(AND(Q$4&gt;=$F7,Q$4&lt;$F7+$G7),1,"")</f>
        <v/>
      </c>
    </row>
    <row r="8" customFormat="false" ht="15" hidden="false" customHeight="true" outlineLevel="0" collapsed="false">
      <c r="A8" s="7" t="n">
        <v>4</v>
      </c>
      <c r="B8" s="8" t="s">
        <v>247</v>
      </c>
      <c r="C8" s="9" t="s">
        <v>251</v>
      </c>
      <c r="D8" s="9" t="s">
        <v>249</v>
      </c>
      <c r="E8" s="7" t="n">
        <v>12</v>
      </c>
      <c r="F8" s="10" t="n">
        <v>3</v>
      </c>
      <c r="G8" s="10" t="n">
        <v>1</v>
      </c>
      <c r="H8" s="7" t="n">
        <f aca="false">F8+G8-1</f>
        <v>3</v>
      </c>
      <c r="I8" s="11" t="s">
        <v>20</v>
      </c>
      <c r="J8" s="13" t="str">
        <f aca="false">IF(AND(J$4&gt;=$F8,J$4&lt;$F8+$G8),1,"")</f>
        <v/>
      </c>
      <c r="K8" s="13" t="str">
        <f aca="false">IF(AND(K$4&gt;=$F8,K$4&lt;$F8+$G8),1,"")</f>
        <v/>
      </c>
      <c r="L8" s="13" t="n">
        <f aca="false">IF(AND(L$4&gt;=$F8,L$4&lt;$F8+$G8),1,"")</f>
        <v>1</v>
      </c>
      <c r="M8" s="13" t="str">
        <f aca="false">IF(AND(M$4&gt;=$F8,M$4&lt;$F8+$G8),1,"")</f>
        <v/>
      </c>
      <c r="N8" s="13" t="str">
        <f aca="false">IF(AND(N$4&gt;=$F8,N$4&lt;$F8+$G8),1,"")</f>
        <v/>
      </c>
      <c r="O8" s="13" t="str">
        <f aca="false">IF(AND(O$4&gt;=$F8,O$4&lt;$F8+$G8),1,"")</f>
        <v/>
      </c>
      <c r="P8" s="13" t="str">
        <f aca="false">IF(AND(P$4&gt;=$F8,P$4&lt;$F8+$G8),1,"")</f>
        <v/>
      </c>
      <c r="Q8" s="13" t="str">
        <f aca="false">IF(AND(Q$4&gt;=$F8,Q$4&lt;$F8+$G8),1,"")</f>
        <v/>
      </c>
    </row>
    <row r="9" customFormat="false" ht="15" hidden="false" customHeight="true" outlineLevel="0" collapsed="false">
      <c r="A9" s="7" t="n">
        <v>5</v>
      </c>
      <c r="B9" s="8" t="s">
        <v>252</v>
      </c>
      <c r="C9" s="9" t="s">
        <v>253</v>
      </c>
      <c r="D9" s="9" t="s">
        <v>246</v>
      </c>
      <c r="E9" s="7" t="n">
        <v>12</v>
      </c>
      <c r="F9" s="10" t="n">
        <v>3</v>
      </c>
      <c r="G9" s="10" t="n">
        <v>1</v>
      </c>
      <c r="H9" s="7" t="n">
        <f aca="false">F9+G9-1</f>
        <v>3</v>
      </c>
      <c r="I9" s="11" t="s">
        <v>20</v>
      </c>
      <c r="J9" s="13" t="str">
        <f aca="false">IF(AND(J$4&gt;=$F9,J$4&lt;$F9+$G9),1,"")</f>
        <v/>
      </c>
      <c r="K9" s="13" t="str">
        <f aca="false">IF(AND(K$4&gt;=$F9,K$4&lt;$F9+$G9),1,"")</f>
        <v/>
      </c>
      <c r="L9" s="13" t="n">
        <f aca="false">IF(AND(L$4&gt;=$F9,L$4&lt;$F9+$G9),1,"")</f>
        <v>1</v>
      </c>
      <c r="M9" s="13" t="str">
        <f aca="false">IF(AND(M$4&gt;=$F9,M$4&lt;$F9+$G9),1,"")</f>
        <v/>
      </c>
      <c r="N9" s="13" t="str">
        <f aca="false">IF(AND(N$4&gt;=$F9,N$4&lt;$F9+$G9),1,"")</f>
        <v/>
      </c>
      <c r="O9" s="13" t="str">
        <f aca="false">IF(AND(O$4&gt;=$F9,O$4&lt;$F9+$G9),1,"")</f>
        <v/>
      </c>
      <c r="P9" s="13" t="str">
        <f aca="false">IF(AND(P$4&gt;=$F9,P$4&lt;$F9+$G9),1,"")</f>
        <v/>
      </c>
      <c r="Q9" s="13" t="str">
        <f aca="false">IF(AND(Q$4&gt;=$F9,Q$4&lt;$F9+$G9),1,"")</f>
        <v/>
      </c>
    </row>
    <row r="10" customFormat="false" ht="15" hidden="false" customHeight="true" outlineLevel="0" collapsed="false">
      <c r="A10" s="7" t="n">
        <v>6</v>
      </c>
      <c r="B10" s="8" t="s">
        <v>254</v>
      </c>
      <c r="C10" s="9" t="s">
        <v>255</v>
      </c>
      <c r="D10" s="9" t="s">
        <v>249</v>
      </c>
      <c r="E10" s="7" t="n">
        <v>14</v>
      </c>
      <c r="F10" s="10" t="n">
        <v>3</v>
      </c>
      <c r="G10" s="10" t="n">
        <v>2</v>
      </c>
      <c r="H10" s="7" t="n">
        <f aca="false">F10+G10-1</f>
        <v>4</v>
      </c>
      <c r="I10" s="11" t="s">
        <v>20</v>
      </c>
      <c r="J10" s="13" t="str">
        <f aca="false">IF(AND(J$4&gt;=$F10,J$4&lt;$F10+$G10),1,"")</f>
        <v/>
      </c>
      <c r="K10" s="13" t="str">
        <f aca="false">IF(AND(K$4&gt;=$F10,K$4&lt;$F10+$G10),1,"")</f>
        <v/>
      </c>
      <c r="L10" s="13" t="n">
        <f aca="false">IF(AND(L$4&gt;=$F10,L$4&lt;$F10+$G10),1,"")</f>
        <v>1</v>
      </c>
      <c r="M10" s="13" t="n">
        <f aca="false">IF(AND(M$4&gt;=$F10,M$4&lt;$F10+$G10),1,"")</f>
        <v>1</v>
      </c>
      <c r="N10" s="13" t="str">
        <f aca="false">IF(AND(N$4&gt;=$F10,N$4&lt;$F10+$G10),1,"")</f>
        <v/>
      </c>
      <c r="O10" s="13" t="str">
        <f aca="false">IF(AND(O$4&gt;=$F10,O$4&lt;$F10+$G10),1,"")</f>
        <v/>
      </c>
      <c r="P10" s="13" t="str">
        <f aca="false">IF(AND(P$4&gt;=$F10,P$4&lt;$F10+$G10),1,"")</f>
        <v/>
      </c>
      <c r="Q10" s="13" t="str">
        <f aca="false">IF(AND(Q$4&gt;=$F10,Q$4&lt;$F10+$G10),1,"")</f>
        <v/>
      </c>
    </row>
    <row r="11" customFormat="false" ht="15" hidden="false" customHeight="true" outlineLevel="0" collapsed="false">
      <c r="A11" s="7" t="n">
        <v>7</v>
      </c>
      <c r="B11" s="8" t="s">
        <v>254</v>
      </c>
      <c r="C11" s="9" t="s">
        <v>256</v>
      </c>
      <c r="D11" s="9" t="s">
        <v>257</v>
      </c>
      <c r="E11" s="7" t="n">
        <v>14</v>
      </c>
      <c r="F11" s="10" t="n">
        <v>4</v>
      </c>
      <c r="G11" s="10" t="n">
        <v>1</v>
      </c>
      <c r="H11" s="7" t="n">
        <f aca="false">F11+G11-1</f>
        <v>4</v>
      </c>
      <c r="I11" s="7" t="s">
        <v>28</v>
      </c>
      <c r="J11" s="13" t="str">
        <f aca="false">IF(AND(J$4&gt;=$F11,J$4&lt;$F11+$G11),1,"")</f>
        <v/>
      </c>
      <c r="K11" s="13" t="str">
        <f aca="false">IF(AND(K$4&gt;=$F11,K$4&lt;$F11+$G11),1,"")</f>
        <v/>
      </c>
      <c r="L11" s="13" t="str">
        <f aca="false">IF(AND(L$4&gt;=$F11,L$4&lt;$F11+$G11),1,"")</f>
        <v/>
      </c>
      <c r="M11" s="13" t="n">
        <f aca="false">IF(AND(M$4&gt;=$F11,M$4&lt;$F11+$G11),1,"")</f>
        <v>1</v>
      </c>
      <c r="N11" s="13" t="str">
        <f aca="false">IF(AND(N$4&gt;=$F11,N$4&lt;$F11+$G11),1,"")</f>
        <v/>
      </c>
      <c r="O11" s="13" t="str">
        <f aca="false">IF(AND(O$4&gt;=$F11,O$4&lt;$F11+$G11),1,"")</f>
        <v/>
      </c>
      <c r="P11" s="13" t="str">
        <f aca="false">IF(AND(P$4&gt;=$F11,P$4&lt;$F11+$G11),1,"")</f>
        <v/>
      </c>
      <c r="Q11" s="13" t="str">
        <f aca="false">IF(AND(Q$4&gt;=$F11,Q$4&lt;$F11+$G11),1,"")</f>
        <v/>
      </c>
    </row>
    <row r="12" customFormat="false" ht="15" hidden="false" customHeight="true" outlineLevel="0" collapsed="false">
      <c r="A12" s="7" t="n">
        <v>8</v>
      </c>
      <c r="B12" s="8" t="s">
        <v>254</v>
      </c>
      <c r="C12" s="9" t="s">
        <v>258</v>
      </c>
      <c r="D12" s="9" t="s">
        <v>259</v>
      </c>
      <c r="E12" s="7" t="n">
        <v>11</v>
      </c>
      <c r="F12" s="10" t="n">
        <v>3</v>
      </c>
      <c r="G12" s="10" t="n">
        <v>1</v>
      </c>
      <c r="H12" s="7" t="n">
        <f aca="false">F12+G12-1</f>
        <v>3</v>
      </c>
      <c r="I12" s="11" t="s">
        <v>20</v>
      </c>
      <c r="J12" s="13" t="str">
        <f aca="false">IF(AND(J$4&gt;=$F12,J$4&lt;$F12+$G12),1,"")</f>
        <v/>
      </c>
      <c r="K12" s="13" t="str">
        <f aca="false">IF(AND(K$4&gt;=$F12,K$4&lt;$F12+$G12),1,"")</f>
        <v/>
      </c>
      <c r="L12" s="13" t="n">
        <f aca="false">IF(AND(L$4&gt;=$F12,L$4&lt;$F12+$G12),1,"")</f>
        <v>1</v>
      </c>
      <c r="M12" s="13" t="str">
        <f aca="false">IF(AND(M$4&gt;=$F12,M$4&lt;$F12+$G12),1,"")</f>
        <v/>
      </c>
      <c r="N12" s="13" t="str">
        <f aca="false">IF(AND(N$4&gt;=$F12,N$4&lt;$F12+$G12),1,"")</f>
        <v/>
      </c>
      <c r="O12" s="13" t="str">
        <f aca="false">IF(AND(O$4&gt;=$F12,O$4&lt;$F12+$G12),1,"")</f>
        <v/>
      </c>
      <c r="P12" s="13" t="str">
        <f aca="false">IF(AND(P$4&gt;=$F12,P$4&lt;$F12+$G12),1,"")</f>
        <v/>
      </c>
      <c r="Q12" s="13" t="str">
        <f aca="false">IF(AND(Q$4&gt;=$F12,Q$4&lt;$F12+$G12),1,"")</f>
        <v/>
      </c>
    </row>
    <row r="13" customFormat="false" ht="15" hidden="false" customHeight="true" outlineLevel="0" collapsed="false">
      <c r="A13" s="7" t="n">
        <v>9</v>
      </c>
      <c r="B13" s="8" t="s">
        <v>254</v>
      </c>
      <c r="C13" s="9" t="s">
        <v>260</v>
      </c>
      <c r="D13" s="9" t="s">
        <v>261</v>
      </c>
      <c r="E13" s="7" t="n">
        <v>11</v>
      </c>
      <c r="F13" s="10" t="n">
        <v>4</v>
      </c>
      <c r="G13" s="10" t="n">
        <v>1</v>
      </c>
      <c r="H13" s="7" t="n">
        <f aca="false">F13+G13-1</f>
        <v>4</v>
      </c>
      <c r="I13" s="11" t="s">
        <v>20</v>
      </c>
      <c r="J13" s="13" t="str">
        <f aca="false">IF(AND(J$4&gt;=$F13,J$4&lt;$F13+$G13),1,"")</f>
        <v/>
      </c>
      <c r="K13" s="13" t="str">
        <f aca="false">IF(AND(K$4&gt;=$F13,K$4&lt;$F13+$G13),1,"")</f>
        <v/>
      </c>
      <c r="L13" s="13" t="str">
        <f aca="false">IF(AND(L$4&gt;=$F13,L$4&lt;$F13+$G13),1,"")</f>
        <v/>
      </c>
      <c r="M13" s="13" t="n">
        <f aca="false">IF(AND(M$4&gt;=$F13,M$4&lt;$F13+$G13),1,"")</f>
        <v>1</v>
      </c>
      <c r="N13" s="13" t="str">
        <f aca="false">IF(AND(N$4&gt;=$F13,N$4&lt;$F13+$G13),1,"")</f>
        <v/>
      </c>
      <c r="O13" s="13" t="str">
        <f aca="false">IF(AND(O$4&gt;=$F13,O$4&lt;$F13+$G13),1,"")</f>
        <v/>
      </c>
      <c r="P13" s="13" t="str">
        <f aca="false">IF(AND(P$4&gt;=$F13,P$4&lt;$F13+$G13),1,"")</f>
        <v/>
      </c>
      <c r="Q13" s="13" t="str">
        <f aca="false">IF(AND(Q$4&gt;=$F13,Q$4&lt;$F13+$G13),1,"")</f>
        <v/>
      </c>
    </row>
    <row r="14" customFormat="false" ht="15" hidden="false" customHeight="true" outlineLevel="0" collapsed="false">
      <c r="A14" s="7" t="n">
        <v>10</v>
      </c>
      <c r="B14" s="8" t="s">
        <v>254</v>
      </c>
      <c r="C14" s="9" t="s">
        <v>262</v>
      </c>
      <c r="D14" s="9" t="s">
        <v>263</v>
      </c>
      <c r="E14" s="7" t="n">
        <v>11</v>
      </c>
      <c r="F14" s="10" t="n">
        <v>4</v>
      </c>
      <c r="G14" s="10" t="n">
        <v>1</v>
      </c>
      <c r="H14" s="7" t="n">
        <f aca="false">F14+G14-1</f>
        <v>4</v>
      </c>
      <c r="I14" s="11" t="s">
        <v>20</v>
      </c>
      <c r="J14" s="13" t="str">
        <f aca="false">IF(AND(J$4&gt;=$F14,J$4&lt;$F14+$G14),1,"")</f>
        <v/>
      </c>
      <c r="K14" s="13" t="str">
        <f aca="false">IF(AND(K$4&gt;=$F14,K$4&lt;$F14+$G14),1,"")</f>
        <v/>
      </c>
      <c r="L14" s="13" t="str">
        <f aca="false">IF(AND(L$4&gt;=$F14,L$4&lt;$F14+$G14),1,"")</f>
        <v/>
      </c>
      <c r="M14" s="13" t="n">
        <f aca="false">IF(AND(M$4&gt;=$F14,M$4&lt;$F14+$G14),1,"")</f>
        <v>1</v>
      </c>
      <c r="N14" s="13" t="str">
        <f aca="false">IF(AND(N$4&gt;=$F14,N$4&lt;$F14+$G14),1,"")</f>
        <v/>
      </c>
      <c r="O14" s="13" t="str">
        <f aca="false">IF(AND(O$4&gt;=$F14,O$4&lt;$F14+$G14),1,"")</f>
        <v/>
      </c>
      <c r="P14" s="13" t="str">
        <f aca="false">IF(AND(P$4&gt;=$F14,P$4&lt;$F14+$G14),1,"")</f>
        <v/>
      </c>
      <c r="Q14" s="13" t="str">
        <f aca="false">IF(AND(Q$4&gt;=$F14,Q$4&lt;$F14+$G14),1,"")</f>
        <v/>
      </c>
    </row>
    <row r="15" customFormat="false" ht="15" hidden="false" customHeight="true" outlineLevel="0" collapsed="false">
      <c r="A15" s="7" t="n">
        <v>11</v>
      </c>
      <c r="B15" s="8" t="s">
        <v>264</v>
      </c>
      <c r="C15" s="9" t="s">
        <v>265</v>
      </c>
      <c r="D15" s="9" t="s">
        <v>246</v>
      </c>
      <c r="E15" s="7" t="n">
        <v>18</v>
      </c>
      <c r="F15" s="10" t="n">
        <v>6</v>
      </c>
      <c r="G15" s="10" t="n">
        <v>1</v>
      </c>
      <c r="H15" s="7" t="n">
        <f aca="false">F15+G15-1</f>
        <v>6</v>
      </c>
      <c r="I15" s="11" t="s">
        <v>20</v>
      </c>
      <c r="J15" s="13" t="str">
        <f aca="false">IF(AND(J$4&gt;=$F15,J$4&lt;$F15+$G15),1,"")</f>
        <v/>
      </c>
      <c r="K15" s="13" t="str">
        <f aca="false">IF(AND(K$4&gt;=$F15,K$4&lt;$F15+$G15),1,"")</f>
        <v/>
      </c>
      <c r="L15" s="13" t="str">
        <f aca="false">IF(AND(L$4&gt;=$F15,L$4&lt;$F15+$G15),1,"")</f>
        <v/>
      </c>
      <c r="M15" s="13" t="str">
        <f aca="false">IF(AND(M$4&gt;=$F15,M$4&lt;$F15+$G15),1,"")</f>
        <v/>
      </c>
      <c r="N15" s="13" t="str">
        <f aca="false">IF(AND(N$4&gt;=$F15,N$4&lt;$F15+$G15),1,"")</f>
        <v/>
      </c>
      <c r="O15" s="13" t="n">
        <f aca="false">IF(AND(O$4&gt;=$F15,O$4&lt;$F15+$G15),1,"")</f>
        <v>1</v>
      </c>
      <c r="P15" s="13" t="str">
        <f aca="false">IF(AND(P$4&gt;=$F15,P$4&lt;$F15+$G15),1,"")</f>
        <v/>
      </c>
      <c r="Q15" s="13" t="str">
        <f aca="false">IF(AND(Q$4&gt;=$F15,Q$4&lt;$F15+$G15),1,"")</f>
        <v/>
      </c>
    </row>
    <row r="16" customFormat="false" ht="15" hidden="false" customHeight="true" outlineLevel="0" collapsed="false">
      <c r="A16" s="7" t="n">
        <v>12</v>
      </c>
      <c r="B16" s="8" t="s">
        <v>266</v>
      </c>
      <c r="C16" s="9" t="s">
        <v>267</v>
      </c>
      <c r="D16" s="9" t="s">
        <v>249</v>
      </c>
      <c r="E16" s="7" t="n">
        <v>19</v>
      </c>
      <c r="F16" s="10" t="n">
        <v>4</v>
      </c>
      <c r="G16" s="10" t="n">
        <v>1</v>
      </c>
      <c r="H16" s="7" t="n">
        <f aca="false">F16+G16-1</f>
        <v>4</v>
      </c>
      <c r="I16" s="11" t="s">
        <v>20</v>
      </c>
      <c r="J16" s="13" t="str">
        <f aca="false">IF(AND(J$4&gt;=$F16,J$4&lt;$F16+$G16),1,"")</f>
        <v/>
      </c>
      <c r="K16" s="13" t="str">
        <f aca="false">IF(AND(K$4&gt;=$F16,K$4&lt;$F16+$G16),1,"")</f>
        <v/>
      </c>
      <c r="L16" s="13" t="str">
        <f aca="false">IF(AND(L$4&gt;=$F16,L$4&lt;$F16+$G16),1,"")</f>
        <v/>
      </c>
      <c r="M16" s="13" t="n">
        <f aca="false">IF(AND(M$4&gt;=$F16,M$4&lt;$F16+$G16),1,"")</f>
        <v>1</v>
      </c>
      <c r="N16" s="13" t="str">
        <f aca="false">IF(AND(N$4&gt;=$F16,N$4&lt;$F16+$G16),1,"")</f>
        <v/>
      </c>
      <c r="O16" s="13" t="str">
        <f aca="false">IF(AND(O$4&gt;=$F16,O$4&lt;$F16+$G16),1,"")</f>
        <v/>
      </c>
      <c r="P16" s="13" t="str">
        <f aca="false">IF(AND(P$4&gt;=$F16,P$4&lt;$F16+$G16),1,"")</f>
        <v/>
      </c>
      <c r="Q16" s="13" t="str">
        <f aca="false">IF(AND(Q$4&gt;=$F16,Q$4&lt;$F16+$G16),1,"")</f>
        <v/>
      </c>
    </row>
    <row r="17" customFormat="false" ht="15" hidden="false" customHeight="true" outlineLevel="0" collapsed="false">
      <c r="A17" s="7" t="n">
        <v>13</v>
      </c>
      <c r="B17" s="8" t="s">
        <v>266</v>
      </c>
      <c r="C17" s="9" t="s">
        <v>268</v>
      </c>
      <c r="D17" s="9" t="s">
        <v>269</v>
      </c>
      <c r="E17" s="7" t="n">
        <v>19</v>
      </c>
      <c r="F17" s="10" t="n">
        <v>4</v>
      </c>
      <c r="G17" s="10" t="n">
        <v>1</v>
      </c>
      <c r="H17" s="7" t="n">
        <f aca="false">F17+G17-1</f>
        <v>4</v>
      </c>
      <c r="I17" s="11" t="s">
        <v>20</v>
      </c>
      <c r="J17" s="13" t="str">
        <f aca="false">IF(AND(J$4&gt;=$F17,J$4&lt;$F17+$G17),1,"")</f>
        <v/>
      </c>
      <c r="K17" s="13" t="str">
        <f aca="false">IF(AND(K$4&gt;=$F17,K$4&lt;$F17+$G17),1,"")</f>
        <v/>
      </c>
      <c r="L17" s="13" t="str">
        <f aca="false">IF(AND(L$4&gt;=$F17,L$4&lt;$F17+$G17),1,"")</f>
        <v/>
      </c>
      <c r="M17" s="13" t="n">
        <f aca="false">IF(AND(M$4&gt;=$F17,M$4&lt;$F17+$G17),1,"")</f>
        <v>1</v>
      </c>
      <c r="N17" s="13" t="str">
        <f aca="false">IF(AND(N$4&gt;=$F17,N$4&lt;$F17+$G17),1,"")</f>
        <v/>
      </c>
      <c r="O17" s="13" t="str">
        <f aca="false">IF(AND(O$4&gt;=$F17,O$4&lt;$F17+$G17),1,"")</f>
        <v/>
      </c>
      <c r="P17" s="13" t="str">
        <f aca="false">IF(AND(P$4&gt;=$F17,P$4&lt;$F17+$G17),1,"")</f>
        <v/>
      </c>
      <c r="Q17" s="13" t="str">
        <f aca="false">IF(AND(Q$4&gt;=$F17,Q$4&lt;$F17+$G17),1,"")</f>
        <v/>
      </c>
    </row>
    <row r="18" customFormat="false" ht="15" hidden="false" customHeight="true" outlineLevel="0" collapsed="false">
      <c r="A18" s="7" t="n">
        <v>14</v>
      </c>
      <c r="B18" s="8" t="s">
        <v>266</v>
      </c>
      <c r="C18" s="9" t="s">
        <v>270</v>
      </c>
      <c r="D18" s="9" t="s">
        <v>271</v>
      </c>
      <c r="E18" s="7" t="n">
        <v>19</v>
      </c>
      <c r="F18" s="10" t="n">
        <v>5</v>
      </c>
      <c r="G18" s="10" t="n">
        <v>1</v>
      </c>
      <c r="H18" s="7" t="n">
        <f aca="false">F18+G18-1</f>
        <v>5</v>
      </c>
      <c r="I18" s="11" t="s">
        <v>20</v>
      </c>
      <c r="J18" s="13" t="str">
        <f aca="false">IF(AND(J$4&gt;=$F18,J$4&lt;$F18+$G18),1,"")</f>
        <v/>
      </c>
      <c r="K18" s="13" t="str">
        <f aca="false">IF(AND(K$4&gt;=$F18,K$4&lt;$F18+$G18),1,"")</f>
        <v/>
      </c>
      <c r="L18" s="13" t="str">
        <f aca="false">IF(AND(L$4&gt;=$F18,L$4&lt;$F18+$G18),1,"")</f>
        <v/>
      </c>
      <c r="M18" s="13" t="str">
        <f aca="false">IF(AND(M$4&gt;=$F18,M$4&lt;$F18+$G18),1,"")</f>
        <v/>
      </c>
      <c r="N18" s="13" t="n">
        <f aca="false">IF(AND(N$4&gt;=$F18,N$4&lt;$F18+$G18),1,"")</f>
        <v>1</v>
      </c>
      <c r="O18" s="13" t="str">
        <f aca="false">IF(AND(O$4&gt;=$F18,O$4&lt;$F18+$G18),1,"")</f>
        <v/>
      </c>
      <c r="P18" s="13" t="str">
        <f aca="false">IF(AND(P$4&gt;=$F18,P$4&lt;$F18+$G18),1,"")</f>
        <v/>
      </c>
      <c r="Q18" s="13" t="str">
        <f aca="false">IF(AND(Q$4&gt;=$F18,Q$4&lt;$F18+$G18),1,"")</f>
        <v/>
      </c>
    </row>
    <row r="19" customFormat="false" ht="15" hidden="false" customHeight="true" outlineLevel="0" collapsed="false">
      <c r="A19" s="7" t="n">
        <v>15</v>
      </c>
      <c r="B19" s="8" t="s">
        <v>272</v>
      </c>
      <c r="C19" s="9" t="s">
        <v>273</v>
      </c>
      <c r="D19" s="9" t="s">
        <v>249</v>
      </c>
      <c r="E19" s="7" t="n">
        <v>22</v>
      </c>
      <c r="F19" s="10" t="n">
        <v>6</v>
      </c>
      <c r="G19" s="10" t="n">
        <v>1</v>
      </c>
      <c r="H19" s="7" t="n">
        <f aca="false">F19+G19-1</f>
        <v>6</v>
      </c>
      <c r="I19" s="11" t="s">
        <v>20</v>
      </c>
      <c r="J19" s="13" t="str">
        <f aca="false">IF(AND(J$4&gt;=$F19,J$4&lt;$F19+$G19),1,"")</f>
        <v/>
      </c>
      <c r="K19" s="13" t="str">
        <f aca="false">IF(AND(K$4&gt;=$F19,K$4&lt;$F19+$G19),1,"")</f>
        <v/>
      </c>
      <c r="L19" s="13" t="str">
        <f aca="false">IF(AND(L$4&gt;=$F19,L$4&lt;$F19+$G19),1,"")</f>
        <v/>
      </c>
      <c r="M19" s="13" t="str">
        <f aca="false">IF(AND(M$4&gt;=$F19,M$4&lt;$F19+$G19),1,"")</f>
        <v/>
      </c>
      <c r="N19" s="13" t="str">
        <f aca="false">IF(AND(N$4&gt;=$F19,N$4&lt;$F19+$G19),1,"")</f>
        <v/>
      </c>
      <c r="O19" s="13" t="n">
        <f aca="false">IF(AND(O$4&gt;=$F19,O$4&lt;$F19+$G19),1,"")</f>
        <v>1</v>
      </c>
      <c r="P19" s="13" t="str">
        <f aca="false">IF(AND(P$4&gt;=$F19,P$4&lt;$F19+$G19),1,"")</f>
        <v/>
      </c>
      <c r="Q19" s="13" t="str">
        <f aca="false">IF(AND(Q$4&gt;=$F19,Q$4&lt;$F19+$G19),1,"")</f>
        <v/>
      </c>
    </row>
    <row r="20" customFormat="false" ht="15" hidden="false" customHeight="true" outlineLevel="0" collapsed="false">
      <c r="A20" s="7" t="n">
        <v>16</v>
      </c>
      <c r="B20" s="8" t="s">
        <v>272</v>
      </c>
      <c r="C20" s="9" t="s">
        <v>274</v>
      </c>
      <c r="D20" s="9" t="s">
        <v>249</v>
      </c>
      <c r="E20" s="7" t="n">
        <v>20</v>
      </c>
      <c r="F20" s="10" t="n">
        <v>6</v>
      </c>
      <c r="G20" s="10" t="n">
        <v>1</v>
      </c>
      <c r="H20" s="7" t="n">
        <f aca="false">F20+G20-1</f>
        <v>6</v>
      </c>
      <c r="I20" s="11" t="s">
        <v>20</v>
      </c>
      <c r="J20" s="13" t="str">
        <f aca="false">IF(AND(J$4&gt;=$F20,J$4&lt;$F20+$G20),1,"")</f>
        <v/>
      </c>
      <c r="K20" s="13" t="str">
        <f aca="false">IF(AND(K$4&gt;=$F20,K$4&lt;$F20+$G20),1,"")</f>
        <v/>
      </c>
      <c r="L20" s="13" t="str">
        <f aca="false">IF(AND(L$4&gt;=$F20,L$4&lt;$F20+$G20),1,"")</f>
        <v/>
      </c>
      <c r="M20" s="13" t="str">
        <f aca="false">IF(AND(M$4&gt;=$F20,M$4&lt;$F20+$G20),1,"")</f>
        <v/>
      </c>
      <c r="N20" s="13" t="str">
        <f aca="false">IF(AND(N$4&gt;=$F20,N$4&lt;$F20+$G20),1,"")</f>
        <v/>
      </c>
      <c r="O20" s="13" t="n">
        <f aca="false">IF(AND(O$4&gt;=$F20,O$4&lt;$F20+$G20),1,"")</f>
        <v>1</v>
      </c>
      <c r="P20" s="13" t="str">
        <f aca="false">IF(AND(P$4&gt;=$F20,P$4&lt;$F20+$G20),1,"")</f>
        <v/>
      </c>
      <c r="Q20" s="13" t="str">
        <f aca="false">IF(AND(Q$4&gt;=$F20,Q$4&lt;$F20+$G20),1,"")</f>
        <v/>
      </c>
    </row>
    <row r="21" customFormat="false" ht="15" hidden="false" customHeight="true" outlineLevel="0" collapsed="false">
      <c r="A21" s="7" t="n">
        <v>17</v>
      </c>
      <c r="B21" s="8" t="s">
        <v>272</v>
      </c>
      <c r="C21" s="9" t="s">
        <v>275</v>
      </c>
      <c r="D21" s="9" t="s">
        <v>276</v>
      </c>
      <c r="E21" s="7" t="n">
        <v>23</v>
      </c>
      <c r="F21" s="10" t="n">
        <v>7</v>
      </c>
      <c r="G21" s="10" t="n">
        <v>1</v>
      </c>
      <c r="H21" s="7" t="n">
        <f aca="false">F21+G21-1</f>
        <v>7</v>
      </c>
      <c r="I21" s="11" t="s">
        <v>20</v>
      </c>
      <c r="J21" s="13" t="str">
        <f aca="false">IF(AND(J$4&gt;=$F21,J$4&lt;$F21+$G21),1,"")</f>
        <v/>
      </c>
      <c r="K21" s="13" t="str">
        <f aca="false">IF(AND(K$4&gt;=$F21,K$4&lt;$F21+$G21),1,"")</f>
        <v/>
      </c>
      <c r="L21" s="13" t="str">
        <f aca="false">IF(AND(L$4&gt;=$F21,L$4&lt;$F21+$G21),1,"")</f>
        <v/>
      </c>
      <c r="M21" s="13" t="str">
        <f aca="false">IF(AND(M$4&gt;=$F21,M$4&lt;$F21+$G21),1,"")</f>
        <v/>
      </c>
      <c r="N21" s="13" t="str">
        <f aca="false">IF(AND(N$4&gt;=$F21,N$4&lt;$F21+$G21),1,"")</f>
        <v/>
      </c>
      <c r="O21" s="13" t="str">
        <f aca="false">IF(AND(O$4&gt;=$F21,O$4&lt;$F21+$G21),1,"")</f>
        <v/>
      </c>
      <c r="P21" s="13" t="n">
        <f aca="false">IF(AND(P$4&gt;=$F21,P$4&lt;$F21+$G21),1,"")</f>
        <v>1</v>
      </c>
      <c r="Q21" s="13" t="str">
        <f aca="false">IF(AND(Q$4&gt;=$F21,Q$4&lt;$F21+$G21),1,"")</f>
        <v/>
      </c>
    </row>
    <row r="22" customFormat="false" ht="15" hidden="false" customHeight="true" outlineLevel="0" collapsed="false">
      <c r="A22" s="7" t="n">
        <v>18</v>
      </c>
      <c r="B22" s="8" t="s">
        <v>272</v>
      </c>
      <c r="C22" s="9" t="s">
        <v>277</v>
      </c>
      <c r="D22" s="9" t="s">
        <v>249</v>
      </c>
      <c r="E22" s="7" t="n">
        <v>21</v>
      </c>
      <c r="F22" s="10" t="n">
        <v>6</v>
      </c>
      <c r="G22" s="10" t="n">
        <v>1</v>
      </c>
      <c r="H22" s="7" t="n">
        <f aca="false">F22+G22-1</f>
        <v>6</v>
      </c>
      <c r="I22" s="11" t="s">
        <v>20</v>
      </c>
      <c r="J22" s="13" t="str">
        <f aca="false">IF(AND(J$4&gt;=$F22,J$4&lt;$F22+$G22),1,"")</f>
        <v/>
      </c>
      <c r="K22" s="13" t="str">
        <f aca="false">IF(AND(K$4&gt;=$F22,K$4&lt;$F22+$G22),1,"")</f>
        <v/>
      </c>
      <c r="L22" s="13" t="str">
        <f aca="false">IF(AND(L$4&gt;=$F22,L$4&lt;$F22+$G22),1,"")</f>
        <v/>
      </c>
      <c r="M22" s="13" t="str">
        <f aca="false">IF(AND(M$4&gt;=$F22,M$4&lt;$F22+$G22),1,"")</f>
        <v/>
      </c>
      <c r="N22" s="13" t="str">
        <f aca="false">IF(AND(N$4&gt;=$F22,N$4&lt;$F22+$G22),1,"")</f>
        <v/>
      </c>
      <c r="O22" s="13" t="n">
        <f aca="false">IF(AND(O$4&gt;=$F22,O$4&lt;$F22+$G22),1,"")</f>
        <v>1</v>
      </c>
      <c r="P22" s="13" t="str">
        <f aca="false">IF(AND(P$4&gt;=$F22,P$4&lt;$F22+$G22),1,"")</f>
        <v/>
      </c>
      <c r="Q22" s="13" t="str">
        <f aca="false">IF(AND(Q$4&gt;=$F22,Q$4&lt;$F22+$G22),1,"")</f>
        <v/>
      </c>
    </row>
    <row r="23" customFormat="false" ht="15" hidden="false" customHeight="true" outlineLevel="0" collapsed="false">
      <c r="A23" s="7" t="n">
        <v>19</v>
      </c>
      <c r="B23" s="8" t="s">
        <v>272</v>
      </c>
      <c r="C23" s="9" t="s">
        <v>278</v>
      </c>
      <c r="D23" s="9" t="s">
        <v>249</v>
      </c>
      <c r="E23" s="7" t="n">
        <v>27</v>
      </c>
      <c r="F23" s="10" t="n">
        <v>7</v>
      </c>
      <c r="G23" s="10" t="n">
        <v>1</v>
      </c>
      <c r="H23" s="7" t="n">
        <f aca="false">F23+G23-1</f>
        <v>7</v>
      </c>
      <c r="I23" s="11" t="s">
        <v>20</v>
      </c>
      <c r="J23" s="13" t="str">
        <f aca="false">IF(AND(J$4&gt;=$F23,J$4&lt;$F23+$G23),1,"")</f>
        <v/>
      </c>
      <c r="K23" s="13" t="str">
        <f aca="false">IF(AND(K$4&gt;=$F23,K$4&lt;$F23+$G23),1,"")</f>
        <v/>
      </c>
      <c r="L23" s="13" t="str">
        <f aca="false">IF(AND(L$4&gt;=$F23,L$4&lt;$F23+$G23),1,"")</f>
        <v/>
      </c>
      <c r="M23" s="13" t="str">
        <f aca="false">IF(AND(M$4&gt;=$F23,M$4&lt;$F23+$G23),1,"")</f>
        <v/>
      </c>
      <c r="N23" s="13" t="str">
        <f aca="false">IF(AND(N$4&gt;=$F23,N$4&lt;$F23+$G23),1,"")</f>
        <v/>
      </c>
      <c r="O23" s="13" t="str">
        <f aca="false">IF(AND(O$4&gt;=$F23,O$4&lt;$F23+$G23),1,"")</f>
        <v/>
      </c>
      <c r="P23" s="13" t="n">
        <f aca="false">IF(AND(P$4&gt;=$F23,P$4&lt;$F23+$G23),1,"")</f>
        <v>1</v>
      </c>
      <c r="Q23" s="13" t="str">
        <f aca="false">IF(AND(Q$4&gt;=$F23,Q$4&lt;$F23+$G23),1,"")</f>
        <v/>
      </c>
    </row>
    <row r="24" customFormat="false" ht="15" hidden="false" customHeight="true" outlineLevel="0" collapsed="false">
      <c r="A24" s="7" t="n">
        <v>20</v>
      </c>
      <c r="B24" s="8" t="s">
        <v>272</v>
      </c>
      <c r="C24" s="9" t="s">
        <v>279</v>
      </c>
      <c r="D24" s="9" t="s">
        <v>249</v>
      </c>
      <c r="E24" s="7" t="n">
        <v>22</v>
      </c>
      <c r="F24" s="10" t="n">
        <v>7</v>
      </c>
      <c r="G24" s="10" t="n">
        <v>1</v>
      </c>
      <c r="H24" s="7" t="n">
        <f aca="false">F24+G24-1</f>
        <v>7</v>
      </c>
      <c r="I24" s="11" t="s">
        <v>20</v>
      </c>
      <c r="J24" s="13" t="str">
        <f aca="false">IF(AND(J$4&gt;=$F24,J$4&lt;$F24+$G24),1,"")</f>
        <v/>
      </c>
      <c r="K24" s="13" t="str">
        <f aca="false">IF(AND(K$4&gt;=$F24,K$4&lt;$F24+$G24),1,"")</f>
        <v/>
      </c>
      <c r="L24" s="13" t="str">
        <f aca="false">IF(AND(L$4&gt;=$F24,L$4&lt;$F24+$G24),1,"")</f>
        <v/>
      </c>
      <c r="M24" s="13" t="str">
        <f aca="false">IF(AND(M$4&gt;=$F24,M$4&lt;$F24+$G24),1,"")</f>
        <v/>
      </c>
      <c r="N24" s="13" t="str">
        <f aca="false">IF(AND(N$4&gt;=$F24,N$4&lt;$F24+$G24),1,"")</f>
        <v/>
      </c>
      <c r="O24" s="13" t="str">
        <f aca="false">IF(AND(O$4&gt;=$F24,O$4&lt;$F24+$G24),1,"")</f>
        <v/>
      </c>
      <c r="P24" s="13" t="n">
        <f aca="false">IF(AND(P$4&gt;=$F24,P$4&lt;$F24+$G24),1,"")</f>
        <v>1</v>
      </c>
      <c r="Q24" s="13" t="str">
        <f aca="false">IF(AND(Q$4&gt;=$F24,Q$4&lt;$F24+$G24),1,"")</f>
        <v/>
      </c>
    </row>
    <row r="25" customFormat="false" ht="15" hidden="false" customHeight="true" outlineLevel="0" collapsed="false">
      <c r="A25" s="7" t="n">
        <v>21</v>
      </c>
      <c r="B25" s="8" t="s">
        <v>280</v>
      </c>
      <c r="C25" s="9" t="s">
        <v>281</v>
      </c>
      <c r="D25" s="9" t="s">
        <v>282</v>
      </c>
      <c r="E25" s="7" t="n">
        <v>17</v>
      </c>
      <c r="F25" s="10" t="n">
        <v>6</v>
      </c>
      <c r="G25" s="10" t="n">
        <v>1</v>
      </c>
      <c r="H25" s="7" t="n">
        <f aca="false">F25+G25-1</f>
        <v>6</v>
      </c>
      <c r="I25" s="11" t="s">
        <v>20</v>
      </c>
      <c r="J25" s="13" t="str">
        <f aca="false">IF(AND(J$4&gt;=$F25,J$4&lt;$F25+$G25),1,"")</f>
        <v/>
      </c>
      <c r="K25" s="13" t="str">
        <f aca="false">IF(AND(K$4&gt;=$F25,K$4&lt;$F25+$G25),1,"")</f>
        <v/>
      </c>
      <c r="L25" s="13" t="str">
        <f aca="false">IF(AND(L$4&gt;=$F25,L$4&lt;$F25+$G25),1,"")</f>
        <v/>
      </c>
      <c r="M25" s="13" t="str">
        <f aca="false">IF(AND(M$4&gt;=$F25,M$4&lt;$F25+$G25),1,"")</f>
        <v/>
      </c>
      <c r="N25" s="13" t="str">
        <f aca="false">IF(AND(N$4&gt;=$F25,N$4&lt;$F25+$G25),1,"")</f>
        <v/>
      </c>
      <c r="O25" s="13" t="n">
        <f aca="false">IF(AND(O$4&gt;=$F25,O$4&lt;$F25+$G25),1,"")</f>
        <v>1</v>
      </c>
      <c r="P25" s="13" t="str">
        <f aca="false">IF(AND(P$4&gt;=$F25,P$4&lt;$F25+$G25),1,"")</f>
        <v/>
      </c>
      <c r="Q25" s="13" t="str">
        <f aca="false">IF(AND(Q$4&gt;=$F25,Q$4&lt;$F25+$G25),1,"")</f>
        <v/>
      </c>
    </row>
    <row r="26" customFormat="false" ht="15" hidden="false" customHeight="true" outlineLevel="0" collapsed="false">
      <c r="A26" s="7" t="n">
        <v>22</v>
      </c>
      <c r="B26" s="8" t="s">
        <v>280</v>
      </c>
      <c r="C26" s="9" t="s">
        <v>283</v>
      </c>
      <c r="D26" s="9" t="s">
        <v>44</v>
      </c>
      <c r="E26" s="7" t="n">
        <v>24</v>
      </c>
      <c r="F26" s="10" t="n">
        <v>6</v>
      </c>
      <c r="G26" s="10" t="n">
        <v>1</v>
      </c>
      <c r="H26" s="7" t="n">
        <f aca="false">F26+G26-1</f>
        <v>6</v>
      </c>
      <c r="I26" s="11" t="s">
        <v>20</v>
      </c>
      <c r="J26" s="13" t="str">
        <f aca="false">IF(AND(J$4&gt;=$F26,J$4&lt;$F26+$G26),1,"")</f>
        <v/>
      </c>
      <c r="K26" s="13" t="str">
        <f aca="false">IF(AND(K$4&gt;=$F26,K$4&lt;$F26+$G26),1,"")</f>
        <v/>
      </c>
      <c r="L26" s="13" t="str">
        <f aca="false">IF(AND(L$4&gt;=$F26,L$4&lt;$F26+$G26),1,"")</f>
        <v/>
      </c>
      <c r="M26" s="13" t="str">
        <f aca="false">IF(AND(M$4&gt;=$F26,M$4&lt;$F26+$G26),1,"")</f>
        <v/>
      </c>
      <c r="N26" s="13" t="str">
        <f aca="false">IF(AND(N$4&gt;=$F26,N$4&lt;$F26+$G26),1,"")</f>
        <v/>
      </c>
      <c r="O26" s="13" t="n">
        <f aca="false">IF(AND(O$4&gt;=$F26,O$4&lt;$F26+$G26),1,"")</f>
        <v>1</v>
      </c>
      <c r="P26" s="13" t="str">
        <f aca="false">IF(AND(P$4&gt;=$F26,P$4&lt;$F26+$G26),1,"")</f>
        <v/>
      </c>
      <c r="Q26" s="13" t="str">
        <f aca="false">IF(AND(Q$4&gt;=$F26,Q$4&lt;$F26+$G26),1,"")</f>
        <v/>
      </c>
    </row>
    <row r="27" customFormat="false" ht="15" hidden="false" customHeight="true" outlineLevel="0" collapsed="false">
      <c r="A27" s="7" t="n">
        <v>23</v>
      </c>
      <c r="B27" s="8" t="s">
        <v>280</v>
      </c>
      <c r="C27" s="9" t="s">
        <v>284</v>
      </c>
      <c r="D27" s="9" t="s">
        <v>249</v>
      </c>
      <c r="E27" s="7" t="n">
        <v>25</v>
      </c>
      <c r="F27" s="10" t="n">
        <v>6</v>
      </c>
      <c r="G27" s="10" t="n">
        <v>1</v>
      </c>
      <c r="H27" s="7" t="n">
        <f aca="false">F27+G27-1</f>
        <v>6</v>
      </c>
      <c r="I27" s="11" t="s">
        <v>20</v>
      </c>
      <c r="J27" s="13" t="str">
        <f aca="false">IF(AND(J$4&gt;=$F27,J$4&lt;$F27+$G27),1,"")</f>
        <v/>
      </c>
      <c r="K27" s="13" t="str">
        <f aca="false">IF(AND(K$4&gt;=$F27,K$4&lt;$F27+$G27),1,"")</f>
        <v/>
      </c>
      <c r="L27" s="13" t="str">
        <f aca="false">IF(AND(L$4&gt;=$F27,L$4&lt;$F27+$G27),1,"")</f>
        <v/>
      </c>
      <c r="M27" s="13" t="str">
        <f aca="false">IF(AND(M$4&gt;=$F27,M$4&lt;$F27+$G27),1,"")</f>
        <v/>
      </c>
      <c r="N27" s="13" t="str">
        <f aca="false">IF(AND(N$4&gt;=$F27,N$4&lt;$F27+$G27),1,"")</f>
        <v/>
      </c>
      <c r="O27" s="13" t="n">
        <f aca="false">IF(AND(O$4&gt;=$F27,O$4&lt;$F27+$G27),1,"")</f>
        <v>1</v>
      </c>
      <c r="P27" s="13" t="str">
        <f aca="false">IF(AND(P$4&gt;=$F27,P$4&lt;$F27+$G27),1,"")</f>
        <v/>
      </c>
      <c r="Q27" s="13" t="str">
        <f aca="false">IF(AND(Q$4&gt;=$F27,Q$4&lt;$F27+$G27),1,"")</f>
        <v/>
      </c>
    </row>
    <row r="28" customFormat="false" ht="15" hidden="false" customHeight="true" outlineLevel="0" collapsed="false">
      <c r="A28" s="7" t="n">
        <v>24</v>
      </c>
      <c r="B28" s="8" t="s">
        <v>285</v>
      </c>
      <c r="C28" s="9" t="s">
        <v>286</v>
      </c>
      <c r="D28" s="9" t="s">
        <v>287</v>
      </c>
      <c r="E28" s="7" t="n">
        <v>34</v>
      </c>
      <c r="F28" s="10" t="n">
        <v>6</v>
      </c>
      <c r="G28" s="10" t="n">
        <v>1</v>
      </c>
      <c r="H28" s="7" t="n">
        <f aca="false">F28+G28-1</f>
        <v>6</v>
      </c>
      <c r="I28" s="7" t="s">
        <v>28</v>
      </c>
      <c r="J28" s="13" t="str">
        <f aca="false">IF(AND(J$4&gt;=$F28,J$4&lt;$F28+$G28),1,"")</f>
        <v/>
      </c>
      <c r="K28" s="13" t="str">
        <f aca="false">IF(AND(K$4&gt;=$F28,K$4&lt;$F28+$G28),1,"")</f>
        <v/>
      </c>
      <c r="L28" s="13" t="str">
        <f aca="false">IF(AND(L$4&gt;=$F28,L$4&lt;$F28+$G28),1,"")</f>
        <v/>
      </c>
      <c r="M28" s="13" t="str">
        <f aca="false">IF(AND(M$4&gt;=$F28,M$4&lt;$F28+$G28),1,"")</f>
        <v/>
      </c>
      <c r="N28" s="13" t="str">
        <f aca="false">IF(AND(N$4&gt;=$F28,N$4&lt;$F28+$G28),1,"")</f>
        <v/>
      </c>
      <c r="O28" s="13" t="n">
        <f aca="false">IF(AND(O$4&gt;=$F28,O$4&lt;$F28+$G28),1,"")</f>
        <v>1</v>
      </c>
      <c r="P28" s="13" t="str">
        <f aca="false">IF(AND(P$4&gt;=$F28,P$4&lt;$F28+$G28),1,"")</f>
        <v/>
      </c>
      <c r="Q28" s="13" t="str">
        <f aca="false">IF(AND(Q$4&gt;=$F28,Q$4&lt;$F28+$G28),1,"")</f>
        <v/>
      </c>
    </row>
    <row r="29" customFormat="false" ht="15" hidden="false" customHeight="true" outlineLevel="0" collapsed="false">
      <c r="A29" s="7" t="n">
        <v>25</v>
      </c>
      <c r="B29" s="8" t="s">
        <v>285</v>
      </c>
      <c r="C29" s="9" t="s">
        <v>288</v>
      </c>
      <c r="D29" s="9" t="s">
        <v>287</v>
      </c>
      <c r="E29" s="7" t="n">
        <v>8</v>
      </c>
      <c r="F29" s="10" t="n">
        <v>5</v>
      </c>
      <c r="G29" s="10" t="n">
        <v>1</v>
      </c>
      <c r="H29" s="7" t="n">
        <f aca="false">F29+G29-1</f>
        <v>5</v>
      </c>
      <c r="I29" s="7" t="s">
        <v>28</v>
      </c>
      <c r="J29" s="13" t="str">
        <f aca="false">IF(AND(J$4&gt;=$F29,J$4&lt;$F29+$G29),1,"")</f>
        <v/>
      </c>
      <c r="K29" s="13" t="str">
        <f aca="false">IF(AND(K$4&gt;=$F29,K$4&lt;$F29+$G29),1,"")</f>
        <v/>
      </c>
      <c r="L29" s="13" t="str">
        <f aca="false">IF(AND(L$4&gt;=$F29,L$4&lt;$F29+$G29),1,"")</f>
        <v/>
      </c>
      <c r="M29" s="13" t="str">
        <f aca="false">IF(AND(M$4&gt;=$F29,M$4&lt;$F29+$G29),1,"")</f>
        <v/>
      </c>
      <c r="N29" s="13" t="n">
        <f aca="false">IF(AND(N$4&gt;=$F29,N$4&lt;$F29+$G29),1,"")</f>
        <v>1</v>
      </c>
      <c r="O29" s="13" t="str">
        <f aca="false">IF(AND(O$4&gt;=$F29,O$4&lt;$F29+$G29),1,"")</f>
        <v/>
      </c>
      <c r="P29" s="13" t="str">
        <f aca="false">IF(AND(P$4&gt;=$F29,P$4&lt;$F29+$G29),1,"")</f>
        <v/>
      </c>
      <c r="Q29" s="13" t="str">
        <f aca="false">IF(AND(Q$4&gt;=$F29,Q$4&lt;$F29+$G29),1,"")</f>
        <v/>
      </c>
    </row>
    <row r="30" customFormat="false" ht="15" hidden="false" customHeight="true" outlineLevel="0" collapsed="false">
      <c r="A30" s="7" t="n">
        <v>26</v>
      </c>
      <c r="B30" s="8" t="s">
        <v>285</v>
      </c>
      <c r="C30" s="9" t="s">
        <v>289</v>
      </c>
      <c r="D30" s="9" t="s">
        <v>287</v>
      </c>
      <c r="E30" s="7" t="n">
        <v>23</v>
      </c>
      <c r="F30" s="10" t="n">
        <v>7</v>
      </c>
      <c r="G30" s="10" t="n">
        <v>1</v>
      </c>
      <c r="H30" s="7" t="n">
        <f aca="false">F30+G30-1</f>
        <v>7</v>
      </c>
      <c r="I30" s="11" t="s">
        <v>20</v>
      </c>
      <c r="J30" s="13" t="str">
        <f aca="false">IF(AND(J$4&gt;=$F30,J$4&lt;$F30+$G30),1,"")</f>
        <v/>
      </c>
      <c r="K30" s="13" t="str">
        <f aca="false">IF(AND(K$4&gt;=$F30,K$4&lt;$F30+$G30),1,"")</f>
        <v/>
      </c>
      <c r="L30" s="13" t="str">
        <f aca="false">IF(AND(L$4&gt;=$F30,L$4&lt;$F30+$G30),1,"")</f>
        <v/>
      </c>
      <c r="M30" s="13" t="str">
        <f aca="false">IF(AND(M$4&gt;=$F30,M$4&lt;$F30+$G30),1,"")</f>
        <v/>
      </c>
      <c r="N30" s="13" t="str">
        <f aca="false">IF(AND(N$4&gt;=$F30,N$4&lt;$F30+$G30),1,"")</f>
        <v/>
      </c>
      <c r="O30" s="13" t="str">
        <f aca="false">IF(AND(O$4&gt;=$F30,O$4&lt;$F30+$G30),1,"")</f>
        <v/>
      </c>
      <c r="P30" s="13" t="n">
        <f aca="false">IF(AND(P$4&gt;=$F30,P$4&lt;$F30+$G30),1,"")</f>
        <v>1</v>
      </c>
      <c r="Q30" s="13" t="str">
        <f aca="false">IF(AND(Q$4&gt;=$F30,Q$4&lt;$F30+$G30),1,"")</f>
        <v/>
      </c>
    </row>
    <row r="31" customFormat="false" ht="15" hidden="false" customHeight="true" outlineLevel="0" collapsed="false">
      <c r="A31" s="7" t="n">
        <v>27</v>
      </c>
      <c r="B31" s="8" t="s">
        <v>290</v>
      </c>
      <c r="C31" s="9" t="s">
        <v>291</v>
      </c>
      <c r="D31" s="9" t="s">
        <v>292</v>
      </c>
      <c r="E31" s="7" t="n">
        <v>35</v>
      </c>
      <c r="F31" s="10" t="n">
        <v>7</v>
      </c>
      <c r="G31" s="10" t="n">
        <v>1</v>
      </c>
      <c r="H31" s="7" t="n">
        <f aca="false">F31+G31-1</f>
        <v>7</v>
      </c>
      <c r="I31" s="11" t="s">
        <v>20</v>
      </c>
      <c r="J31" s="13" t="str">
        <f aca="false">IF(AND(J$4&gt;=$F31,J$4&lt;$F31+$G31),1,"")</f>
        <v/>
      </c>
      <c r="K31" s="13" t="str">
        <f aca="false">IF(AND(K$4&gt;=$F31,K$4&lt;$F31+$G31),1,"")</f>
        <v/>
      </c>
      <c r="L31" s="13" t="str">
        <f aca="false">IF(AND(L$4&gt;=$F31,L$4&lt;$F31+$G31),1,"")</f>
        <v/>
      </c>
      <c r="M31" s="13" t="str">
        <f aca="false">IF(AND(M$4&gt;=$F31,M$4&lt;$F31+$G31),1,"")</f>
        <v/>
      </c>
      <c r="N31" s="13" t="str">
        <f aca="false">IF(AND(N$4&gt;=$F31,N$4&lt;$F31+$G31),1,"")</f>
        <v/>
      </c>
      <c r="O31" s="13" t="str">
        <f aca="false">IF(AND(O$4&gt;=$F31,O$4&lt;$F31+$G31),1,"")</f>
        <v/>
      </c>
      <c r="P31" s="13" t="n">
        <f aca="false">IF(AND(P$4&gt;=$F31,P$4&lt;$F31+$G31),1,"")</f>
        <v>1</v>
      </c>
      <c r="Q31" s="13" t="str">
        <f aca="false">IF(AND(Q$4&gt;=$F31,Q$4&lt;$F31+$G31),1,"")</f>
        <v/>
      </c>
    </row>
    <row r="32" customFormat="false" ht="15" hidden="false" customHeight="true" outlineLevel="0" collapsed="false">
      <c r="A32" s="7" t="n">
        <v>28</v>
      </c>
      <c r="B32" s="8" t="s">
        <v>290</v>
      </c>
      <c r="C32" s="9" t="s">
        <v>293</v>
      </c>
      <c r="D32" s="9" t="s">
        <v>294</v>
      </c>
      <c r="E32" s="7" t="n">
        <v>35</v>
      </c>
      <c r="F32" s="10" t="n">
        <v>7</v>
      </c>
      <c r="G32" s="10" t="n">
        <v>1</v>
      </c>
      <c r="H32" s="7" t="n">
        <f aca="false">F32+G32-1</f>
        <v>7</v>
      </c>
      <c r="I32" s="11" t="s">
        <v>20</v>
      </c>
      <c r="J32" s="13" t="str">
        <f aca="false">IF(AND(J$4&gt;=$F32,J$4&lt;$F32+$G32),1,"")</f>
        <v/>
      </c>
      <c r="K32" s="13" t="str">
        <f aca="false">IF(AND(K$4&gt;=$F32,K$4&lt;$F32+$G32),1,"")</f>
        <v/>
      </c>
      <c r="L32" s="13" t="str">
        <f aca="false">IF(AND(L$4&gt;=$F32,L$4&lt;$F32+$G32),1,"")</f>
        <v/>
      </c>
      <c r="M32" s="13" t="str">
        <f aca="false">IF(AND(M$4&gt;=$F32,M$4&lt;$F32+$G32),1,"")</f>
        <v/>
      </c>
      <c r="N32" s="13" t="str">
        <f aca="false">IF(AND(N$4&gt;=$F32,N$4&lt;$F32+$G32),1,"")</f>
        <v/>
      </c>
      <c r="O32" s="13" t="str">
        <f aca="false">IF(AND(O$4&gt;=$F32,O$4&lt;$F32+$G32),1,"")</f>
        <v/>
      </c>
      <c r="P32" s="13" t="n">
        <f aca="false">IF(AND(P$4&gt;=$F32,P$4&lt;$F32+$G32),1,"")</f>
        <v>1</v>
      </c>
      <c r="Q32" s="13" t="str">
        <f aca="false">IF(AND(Q$4&gt;=$F32,Q$4&lt;$F32+$G32),1,"")</f>
        <v/>
      </c>
    </row>
    <row r="34" customFormat="false" ht="15" hidden="false" customHeight="true" outlineLevel="0" collapsed="false">
      <c r="A34" s="3" t="s">
        <v>295</v>
      </c>
    </row>
    <row r="35" customFormat="false" ht="15" hidden="false" customHeight="true" outlineLevel="0" collapsed="false">
      <c r="A35" s="3" t="s">
        <v>296</v>
      </c>
    </row>
  </sheetData>
  <conditionalFormatting sqref="J5:Q32">
    <cfRule type="expression" priority="2" aboveAverage="0" equalAverage="0" bottom="0" percent="0" rank="0" text="" dxfId="1">
      <formula>AND(J5=1,$I5="Si")</formula>
    </cfRule>
    <cfRule type="expression" priority="3" aboveAverage="0" equalAverage="0" bottom="0" percent="0" rank="0" text="" dxfId="2">
      <formula>AND(J5=1,$I5="No")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62"/>
    <col collapsed="false" customWidth="true" hidden="false" outlineLevel="0" max="4" min="4" style="1" width="26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7"/>
    <col collapsed="false" customWidth="true" hidden="false" outlineLevel="0" max="10" min="9" style="1" width="9"/>
    <col collapsed="false" customWidth="true" hidden="false" outlineLevel="0" max="18" min="11" style="1" width="4.6"/>
  </cols>
  <sheetData>
    <row r="1" customFormat="false" ht="17.25" hidden="false" customHeight="true" outlineLevel="0" collapsed="false">
      <c r="A1" s="2" t="s">
        <v>297</v>
      </c>
    </row>
    <row r="2" customFormat="false" ht="15" hidden="false" customHeight="true" outlineLevel="0" collapsed="false">
      <c r="A2" s="3" t="s">
        <v>239</v>
      </c>
    </row>
    <row r="3" customFormat="false" ht="15" hidden="false" customHeight="true" outlineLevel="0" collapsed="false">
      <c r="J3" s="4" t="s">
        <v>3</v>
      </c>
    </row>
    <row r="4" customFormat="false" ht="30" hidden="false" customHeight="true" outlineLevel="0" collapsed="false">
      <c r="A4" s="5" t="s">
        <v>4</v>
      </c>
      <c r="B4" s="5" t="s">
        <v>240</v>
      </c>
      <c r="C4" s="5" t="s">
        <v>241</v>
      </c>
      <c r="D4" s="5" t="s">
        <v>242</v>
      </c>
      <c r="E4" s="5" t="s">
        <v>243</v>
      </c>
      <c r="F4" s="5" t="s">
        <v>9</v>
      </c>
      <c r="G4" s="5" t="s">
        <v>10</v>
      </c>
      <c r="H4" s="5" t="s">
        <v>11</v>
      </c>
      <c r="I4" s="5" t="s">
        <v>12</v>
      </c>
      <c r="J4" s="6" t="n">
        <v>1</v>
      </c>
      <c r="K4" s="6" t="n">
        <v>2</v>
      </c>
      <c r="L4" s="6" t="n">
        <v>3</v>
      </c>
      <c r="M4" s="6" t="n">
        <v>4</v>
      </c>
      <c r="N4" s="6" t="n">
        <v>5</v>
      </c>
      <c r="O4" s="6" t="n">
        <v>6</v>
      </c>
      <c r="P4" s="6" t="n">
        <v>7</v>
      </c>
      <c r="Q4" s="6" t="n">
        <v>8</v>
      </c>
    </row>
    <row r="5" customFormat="false" ht="23.25" hidden="false" customHeight="true" outlineLevel="0" collapsed="false">
      <c r="A5" s="7" t="n">
        <v>1</v>
      </c>
      <c r="B5" s="8" t="s">
        <v>298</v>
      </c>
      <c r="C5" s="9" t="s">
        <v>299</v>
      </c>
      <c r="D5" s="9" t="s">
        <v>249</v>
      </c>
      <c r="E5" s="7" t="n">
        <v>12</v>
      </c>
      <c r="F5" s="10" t="n">
        <v>3</v>
      </c>
      <c r="G5" s="10" t="n">
        <v>1</v>
      </c>
      <c r="H5" s="7" t="n">
        <f aca="false">F5+G5-1</f>
        <v>3</v>
      </c>
      <c r="I5" s="11" t="s">
        <v>20</v>
      </c>
      <c r="J5" s="13" t="str">
        <f aca="false">IF(AND(J$4&gt;=$F5,J$4&lt;$F5+$G5),1,"")</f>
        <v/>
      </c>
      <c r="K5" s="13" t="str">
        <f aca="false">IF(AND(K$4&gt;=$F5,K$4&lt;$F5+$G5),1,"")</f>
        <v/>
      </c>
      <c r="L5" s="13" t="n">
        <f aca="false">IF(AND(L$4&gt;=$F5,L$4&lt;$F5+$G5),1,"")</f>
        <v>1</v>
      </c>
      <c r="M5" s="13" t="str">
        <f aca="false">IF(AND(M$4&gt;=$F5,M$4&lt;$F5+$G5),1,"")</f>
        <v/>
      </c>
      <c r="N5" s="13" t="str">
        <f aca="false">IF(AND(N$4&gt;=$F5,N$4&lt;$F5+$G5),1,"")</f>
        <v/>
      </c>
      <c r="O5" s="13" t="str">
        <f aca="false">IF(AND(O$4&gt;=$F5,O$4&lt;$F5+$G5),1,"")</f>
        <v/>
      </c>
      <c r="P5" s="13" t="str">
        <f aca="false">IF(AND(P$4&gt;=$F5,P$4&lt;$F5+$G5),1,"")</f>
        <v/>
      </c>
      <c r="Q5" s="13" t="str">
        <f aca="false">IF(AND(Q$4&gt;=$F5,Q$4&lt;$F5+$G5),1,"")</f>
        <v/>
      </c>
    </row>
    <row r="6" customFormat="false" ht="15" hidden="false" customHeight="true" outlineLevel="0" collapsed="false">
      <c r="A6" s="7" t="n">
        <v>2</v>
      </c>
      <c r="B6" s="8" t="s">
        <v>298</v>
      </c>
      <c r="C6" s="9" t="s">
        <v>300</v>
      </c>
      <c r="D6" s="9" t="s">
        <v>249</v>
      </c>
      <c r="E6" s="7" t="n">
        <v>12</v>
      </c>
      <c r="F6" s="10" t="n">
        <v>3</v>
      </c>
      <c r="G6" s="10" t="n">
        <v>1</v>
      </c>
      <c r="H6" s="7" t="n">
        <f aca="false">F6+G6-1</f>
        <v>3</v>
      </c>
      <c r="I6" s="11" t="s">
        <v>20</v>
      </c>
      <c r="J6" s="13" t="str">
        <f aca="false">IF(AND(J$4&gt;=$F6,J$4&lt;$F6+$G6),1,"")</f>
        <v/>
      </c>
      <c r="K6" s="13" t="str">
        <f aca="false">IF(AND(K$4&gt;=$F6,K$4&lt;$F6+$G6),1,"")</f>
        <v/>
      </c>
      <c r="L6" s="13" t="n">
        <f aca="false">IF(AND(L$4&gt;=$F6,L$4&lt;$F6+$G6),1,"")</f>
        <v>1</v>
      </c>
      <c r="M6" s="13" t="str">
        <f aca="false">IF(AND(M$4&gt;=$F6,M$4&lt;$F6+$G6),1,"")</f>
        <v/>
      </c>
      <c r="N6" s="13" t="str">
        <f aca="false">IF(AND(N$4&gt;=$F6,N$4&lt;$F6+$G6),1,"")</f>
        <v/>
      </c>
      <c r="O6" s="13" t="str">
        <f aca="false">IF(AND(O$4&gt;=$F6,O$4&lt;$F6+$G6),1,"")</f>
        <v/>
      </c>
      <c r="P6" s="13" t="str">
        <f aca="false">IF(AND(P$4&gt;=$F6,P$4&lt;$F6+$G6),1,"")</f>
        <v/>
      </c>
      <c r="Q6" s="13" t="str">
        <f aca="false">IF(AND(Q$4&gt;=$F6,Q$4&lt;$F6+$G6),1,"")</f>
        <v/>
      </c>
    </row>
    <row r="7" customFormat="false" ht="15" hidden="false" customHeight="true" outlineLevel="0" collapsed="false">
      <c r="A7" s="7" t="n">
        <v>3</v>
      </c>
      <c r="B7" s="8" t="s">
        <v>301</v>
      </c>
      <c r="C7" s="9" t="s">
        <v>302</v>
      </c>
      <c r="D7" s="9" t="s">
        <v>303</v>
      </c>
      <c r="E7" s="7" t="n">
        <v>29</v>
      </c>
      <c r="F7" s="10" t="n">
        <v>7</v>
      </c>
      <c r="G7" s="10" t="n">
        <v>1</v>
      </c>
      <c r="H7" s="7" t="n">
        <f aca="false">F7+G7-1</f>
        <v>7</v>
      </c>
      <c r="I7" s="11" t="s">
        <v>20</v>
      </c>
      <c r="J7" s="13" t="str">
        <f aca="false">IF(AND(J$4&gt;=$F7,J$4&lt;$F7+$G7),1,"")</f>
        <v/>
      </c>
      <c r="K7" s="13" t="str">
        <f aca="false">IF(AND(K$4&gt;=$F7,K$4&lt;$F7+$G7),1,"")</f>
        <v/>
      </c>
      <c r="L7" s="13" t="str">
        <f aca="false">IF(AND(L$4&gt;=$F7,L$4&lt;$F7+$G7),1,"")</f>
        <v/>
      </c>
      <c r="M7" s="13" t="str">
        <f aca="false">IF(AND(M$4&gt;=$F7,M$4&lt;$F7+$G7),1,"")</f>
        <v/>
      </c>
      <c r="N7" s="13" t="str">
        <f aca="false">IF(AND(N$4&gt;=$F7,N$4&lt;$F7+$G7),1,"")</f>
        <v/>
      </c>
      <c r="O7" s="13" t="str">
        <f aca="false">IF(AND(O$4&gt;=$F7,O$4&lt;$F7+$G7),1,"")</f>
        <v/>
      </c>
      <c r="P7" s="13" t="n">
        <f aca="false">IF(AND(P$4&gt;=$F7,P$4&lt;$F7+$G7),1,"")</f>
        <v>1</v>
      </c>
      <c r="Q7" s="13" t="str">
        <f aca="false">IF(AND(Q$4&gt;=$F7,Q$4&lt;$F7+$G7),1,"")</f>
        <v/>
      </c>
    </row>
    <row r="8" customFormat="false" ht="15" hidden="false" customHeight="true" outlineLevel="0" collapsed="false">
      <c r="A8" s="7" t="n">
        <v>4</v>
      </c>
      <c r="B8" s="8" t="s">
        <v>301</v>
      </c>
      <c r="C8" s="9" t="s">
        <v>304</v>
      </c>
      <c r="D8" s="9" t="s">
        <v>249</v>
      </c>
      <c r="E8" s="7" t="n">
        <v>29</v>
      </c>
      <c r="F8" s="10" t="n">
        <v>7</v>
      </c>
      <c r="G8" s="10" t="n">
        <v>1</v>
      </c>
      <c r="H8" s="7" t="n">
        <f aca="false">F8+G8-1</f>
        <v>7</v>
      </c>
      <c r="I8" s="11" t="s">
        <v>20</v>
      </c>
      <c r="J8" s="13" t="str">
        <f aca="false">IF(AND(J$4&gt;=$F8,J$4&lt;$F8+$G8),1,"")</f>
        <v/>
      </c>
      <c r="K8" s="13" t="str">
        <f aca="false">IF(AND(K$4&gt;=$F8,K$4&lt;$F8+$G8),1,"")</f>
        <v/>
      </c>
      <c r="L8" s="13" t="str">
        <f aca="false">IF(AND(L$4&gt;=$F8,L$4&lt;$F8+$G8),1,"")</f>
        <v/>
      </c>
      <c r="M8" s="13" t="str">
        <f aca="false">IF(AND(M$4&gt;=$F8,M$4&lt;$F8+$G8),1,"")</f>
        <v/>
      </c>
      <c r="N8" s="13" t="str">
        <f aca="false">IF(AND(N$4&gt;=$F8,N$4&lt;$F8+$G8),1,"")</f>
        <v/>
      </c>
      <c r="O8" s="13" t="str">
        <f aca="false">IF(AND(O$4&gt;=$F8,O$4&lt;$F8+$G8),1,"")</f>
        <v/>
      </c>
      <c r="P8" s="13" t="n">
        <f aca="false">IF(AND(P$4&gt;=$F8,P$4&lt;$F8+$G8),1,"")</f>
        <v>1</v>
      </c>
      <c r="Q8" s="13" t="str">
        <f aca="false">IF(AND(Q$4&gt;=$F8,Q$4&lt;$F8+$G8),1,"")</f>
        <v/>
      </c>
    </row>
    <row r="9" customFormat="false" ht="15" hidden="false" customHeight="true" outlineLevel="0" collapsed="false">
      <c r="A9" s="7" t="n">
        <v>5</v>
      </c>
      <c r="B9" s="8" t="s">
        <v>305</v>
      </c>
      <c r="C9" s="9" t="s">
        <v>306</v>
      </c>
      <c r="D9" s="9" t="s">
        <v>249</v>
      </c>
      <c r="E9" s="7" t="n">
        <v>12</v>
      </c>
      <c r="F9" s="10" t="n">
        <v>3</v>
      </c>
      <c r="G9" s="10" t="n">
        <v>1</v>
      </c>
      <c r="H9" s="7" t="n">
        <f aca="false">F9+G9-1</f>
        <v>3</v>
      </c>
      <c r="I9" s="11" t="s">
        <v>20</v>
      </c>
      <c r="J9" s="13" t="str">
        <f aca="false">IF(AND(J$4&gt;=$F9,J$4&lt;$F9+$G9),1,"")</f>
        <v/>
      </c>
      <c r="K9" s="13" t="str">
        <f aca="false">IF(AND(K$4&gt;=$F9,K$4&lt;$F9+$G9),1,"")</f>
        <v/>
      </c>
      <c r="L9" s="13" t="n">
        <f aca="false">IF(AND(L$4&gt;=$F9,L$4&lt;$F9+$G9),1,"")</f>
        <v>1</v>
      </c>
      <c r="M9" s="13" t="str">
        <f aca="false">IF(AND(M$4&gt;=$F9,M$4&lt;$F9+$G9),1,"")</f>
        <v/>
      </c>
      <c r="N9" s="13" t="str">
        <f aca="false">IF(AND(N$4&gt;=$F9,N$4&lt;$F9+$G9),1,"")</f>
        <v/>
      </c>
      <c r="O9" s="13" t="str">
        <f aca="false">IF(AND(O$4&gt;=$F9,O$4&lt;$F9+$G9),1,"")</f>
        <v/>
      </c>
      <c r="P9" s="13" t="str">
        <f aca="false">IF(AND(P$4&gt;=$F9,P$4&lt;$F9+$G9),1,"")</f>
        <v/>
      </c>
      <c r="Q9" s="13" t="str">
        <f aca="false">IF(AND(Q$4&gt;=$F9,Q$4&lt;$F9+$G9),1,"")</f>
        <v/>
      </c>
    </row>
    <row r="10" customFormat="false" ht="15" hidden="false" customHeight="true" outlineLevel="0" collapsed="false">
      <c r="A10" s="7" t="n">
        <v>6</v>
      </c>
      <c r="B10" s="8" t="s">
        <v>305</v>
      </c>
      <c r="C10" s="9" t="s">
        <v>307</v>
      </c>
      <c r="D10" s="9" t="s">
        <v>308</v>
      </c>
      <c r="E10" s="7" t="n">
        <v>13</v>
      </c>
      <c r="F10" s="10" t="n">
        <v>3</v>
      </c>
      <c r="G10" s="10" t="n">
        <v>1</v>
      </c>
      <c r="H10" s="7" t="n">
        <f aca="false">F10+G10-1</f>
        <v>3</v>
      </c>
      <c r="I10" s="11" t="s">
        <v>20</v>
      </c>
      <c r="J10" s="13" t="str">
        <f aca="false">IF(AND(J$4&gt;=$F10,J$4&lt;$F10+$G10),1,"")</f>
        <v/>
      </c>
      <c r="K10" s="13" t="str">
        <f aca="false">IF(AND(K$4&gt;=$F10,K$4&lt;$F10+$G10),1,"")</f>
        <v/>
      </c>
      <c r="L10" s="13" t="n">
        <f aca="false">IF(AND(L$4&gt;=$F10,L$4&lt;$F10+$G10),1,"")</f>
        <v>1</v>
      </c>
      <c r="M10" s="13" t="str">
        <f aca="false">IF(AND(M$4&gt;=$F10,M$4&lt;$F10+$G10),1,"")</f>
        <v/>
      </c>
      <c r="N10" s="13" t="str">
        <f aca="false">IF(AND(N$4&gt;=$F10,N$4&lt;$F10+$G10),1,"")</f>
        <v/>
      </c>
      <c r="O10" s="13" t="str">
        <f aca="false">IF(AND(O$4&gt;=$F10,O$4&lt;$F10+$G10),1,"")</f>
        <v/>
      </c>
      <c r="P10" s="13" t="str">
        <f aca="false">IF(AND(P$4&gt;=$F10,P$4&lt;$F10+$G10),1,"")</f>
        <v/>
      </c>
      <c r="Q10" s="13" t="str">
        <f aca="false">IF(AND(Q$4&gt;=$F10,Q$4&lt;$F10+$G10),1,"")</f>
        <v/>
      </c>
    </row>
    <row r="11" customFormat="false" ht="15" hidden="false" customHeight="true" outlineLevel="0" collapsed="false">
      <c r="A11" s="7" t="n">
        <v>7</v>
      </c>
      <c r="B11" s="8" t="s">
        <v>305</v>
      </c>
      <c r="C11" s="9" t="s">
        <v>309</v>
      </c>
      <c r="D11" s="9" t="s">
        <v>249</v>
      </c>
      <c r="E11" s="7" t="n">
        <v>1</v>
      </c>
      <c r="F11" s="10" t="n">
        <v>3</v>
      </c>
      <c r="G11" s="10" t="n">
        <v>1</v>
      </c>
      <c r="H11" s="7" t="n">
        <f aca="false">F11+G11-1</f>
        <v>3</v>
      </c>
      <c r="I11" s="11" t="s">
        <v>20</v>
      </c>
      <c r="J11" s="13" t="str">
        <f aca="false">IF(AND(J$4&gt;=$F11,J$4&lt;$F11+$G11),1,"")</f>
        <v/>
      </c>
      <c r="K11" s="13" t="str">
        <f aca="false">IF(AND(K$4&gt;=$F11,K$4&lt;$F11+$G11),1,"")</f>
        <v/>
      </c>
      <c r="L11" s="13" t="n">
        <f aca="false">IF(AND(L$4&gt;=$F11,L$4&lt;$F11+$G11),1,"")</f>
        <v>1</v>
      </c>
      <c r="M11" s="13" t="str">
        <f aca="false">IF(AND(M$4&gt;=$F11,M$4&lt;$F11+$G11),1,"")</f>
        <v/>
      </c>
      <c r="N11" s="13" t="str">
        <f aca="false">IF(AND(N$4&gt;=$F11,N$4&lt;$F11+$G11),1,"")</f>
        <v/>
      </c>
      <c r="O11" s="13" t="str">
        <f aca="false">IF(AND(O$4&gt;=$F11,O$4&lt;$F11+$G11),1,"")</f>
        <v/>
      </c>
      <c r="P11" s="13" t="str">
        <f aca="false">IF(AND(P$4&gt;=$F11,P$4&lt;$F11+$G11),1,"")</f>
        <v/>
      </c>
      <c r="Q11" s="13" t="str">
        <f aca="false">IF(AND(Q$4&gt;=$F11,Q$4&lt;$F11+$G11),1,"")</f>
        <v/>
      </c>
    </row>
    <row r="12" customFormat="false" ht="15" hidden="false" customHeight="true" outlineLevel="0" collapsed="false">
      <c r="A12" s="7" t="n">
        <v>8</v>
      </c>
      <c r="B12" s="8" t="s">
        <v>310</v>
      </c>
      <c r="C12" s="9" t="s">
        <v>311</v>
      </c>
      <c r="D12" s="9" t="s">
        <v>249</v>
      </c>
      <c r="E12" s="7" t="n">
        <v>7</v>
      </c>
      <c r="F12" s="10" t="n">
        <v>3</v>
      </c>
      <c r="G12" s="10" t="n">
        <v>1</v>
      </c>
      <c r="H12" s="7" t="n">
        <f aca="false">F12+G12-1</f>
        <v>3</v>
      </c>
      <c r="I12" s="11" t="s">
        <v>20</v>
      </c>
      <c r="J12" s="13" t="str">
        <f aca="false">IF(AND(J$4&gt;=$F12,J$4&lt;$F12+$G12),1,"")</f>
        <v/>
      </c>
      <c r="K12" s="13" t="str">
        <f aca="false">IF(AND(K$4&gt;=$F12,K$4&lt;$F12+$G12),1,"")</f>
        <v/>
      </c>
      <c r="L12" s="13" t="n">
        <f aca="false">IF(AND(L$4&gt;=$F12,L$4&lt;$F12+$G12),1,"")</f>
        <v>1</v>
      </c>
      <c r="M12" s="13" t="str">
        <f aca="false">IF(AND(M$4&gt;=$F12,M$4&lt;$F12+$G12),1,"")</f>
        <v/>
      </c>
      <c r="N12" s="13" t="str">
        <f aca="false">IF(AND(N$4&gt;=$F12,N$4&lt;$F12+$G12),1,"")</f>
        <v/>
      </c>
      <c r="O12" s="13" t="str">
        <f aca="false">IF(AND(O$4&gt;=$F12,O$4&lt;$F12+$G12),1,"")</f>
        <v/>
      </c>
      <c r="P12" s="13" t="str">
        <f aca="false">IF(AND(P$4&gt;=$F12,P$4&lt;$F12+$G12),1,"")</f>
        <v/>
      </c>
      <c r="Q12" s="13" t="str">
        <f aca="false">IF(AND(Q$4&gt;=$F12,Q$4&lt;$F12+$G12),1,"")</f>
        <v/>
      </c>
    </row>
    <row r="13" customFormat="false" ht="15" hidden="false" customHeight="true" outlineLevel="0" collapsed="false">
      <c r="A13" s="7" t="n">
        <v>9</v>
      </c>
      <c r="B13" s="8" t="s">
        <v>310</v>
      </c>
      <c r="C13" s="9" t="s">
        <v>312</v>
      </c>
      <c r="D13" s="9" t="s">
        <v>249</v>
      </c>
      <c r="E13" s="7" t="n">
        <v>7</v>
      </c>
      <c r="F13" s="10" t="n">
        <v>4</v>
      </c>
      <c r="G13" s="10" t="n">
        <v>1</v>
      </c>
      <c r="H13" s="7" t="n">
        <f aca="false">F13+G13-1</f>
        <v>4</v>
      </c>
      <c r="I13" s="11" t="s">
        <v>20</v>
      </c>
      <c r="J13" s="13" t="str">
        <f aca="false">IF(AND(J$4&gt;=$F13,J$4&lt;$F13+$G13),1,"")</f>
        <v/>
      </c>
      <c r="K13" s="13" t="str">
        <f aca="false">IF(AND(K$4&gt;=$F13,K$4&lt;$F13+$G13),1,"")</f>
        <v/>
      </c>
      <c r="L13" s="13" t="str">
        <f aca="false">IF(AND(L$4&gt;=$F13,L$4&lt;$F13+$G13),1,"")</f>
        <v/>
      </c>
      <c r="M13" s="13" t="n">
        <f aca="false">IF(AND(M$4&gt;=$F13,M$4&lt;$F13+$G13),1,"")</f>
        <v>1</v>
      </c>
      <c r="N13" s="13" t="str">
        <f aca="false">IF(AND(N$4&gt;=$F13,N$4&lt;$F13+$G13),1,"")</f>
        <v/>
      </c>
      <c r="O13" s="13" t="str">
        <f aca="false">IF(AND(O$4&gt;=$F13,O$4&lt;$F13+$G13),1,"")</f>
        <v/>
      </c>
      <c r="P13" s="13" t="str">
        <f aca="false">IF(AND(P$4&gt;=$F13,P$4&lt;$F13+$G13),1,"")</f>
        <v/>
      </c>
      <c r="Q13" s="13" t="str">
        <f aca="false">IF(AND(Q$4&gt;=$F13,Q$4&lt;$F13+$G13),1,"")</f>
        <v/>
      </c>
    </row>
    <row r="14" customFormat="false" ht="15" hidden="false" customHeight="true" outlineLevel="0" collapsed="false">
      <c r="A14" s="7" t="n">
        <v>10</v>
      </c>
      <c r="B14" s="8" t="s">
        <v>310</v>
      </c>
      <c r="C14" s="9" t="s">
        <v>313</v>
      </c>
      <c r="D14" s="9" t="s">
        <v>314</v>
      </c>
      <c r="E14" s="7" t="n">
        <v>26</v>
      </c>
      <c r="F14" s="10" t="n">
        <v>6</v>
      </c>
      <c r="G14" s="10" t="n">
        <v>1</v>
      </c>
      <c r="H14" s="7" t="n">
        <f aca="false">F14+G14-1</f>
        <v>6</v>
      </c>
      <c r="I14" s="11" t="s">
        <v>20</v>
      </c>
      <c r="J14" s="13" t="str">
        <f aca="false">IF(AND(J$4&gt;=$F14,J$4&lt;$F14+$G14),1,"")</f>
        <v/>
      </c>
      <c r="K14" s="13" t="str">
        <f aca="false">IF(AND(K$4&gt;=$F14,K$4&lt;$F14+$G14),1,"")</f>
        <v/>
      </c>
      <c r="L14" s="13" t="str">
        <f aca="false">IF(AND(L$4&gt;=$F14,L$4&lt;$F14+$G14),1,"")</f>
        <v/>
      </c>
      <c r="M14" s="13" t="str">
        <f aca="false">IF(AND(M$4&gt;=$F14,M$4&lt;$F14+$G14),1,"")</f>
        <v/>
      </c>
      <c r="N14" s="13" t="str">
        <f aca="false">IF(AND(N$4&gt;=$F14,N$4&lt;$F14+$G14),1,"")</f>
        <v/>
      </c>
      <c r="O14" s="13" t="n">
        <f aca="false">IF(AND(O$4&gt;=$F14,O$4&lt;$F14+$G14),1,"")</f>
        <v>1</v>
      </c>
      <c r="P14" s="13" t="str">
        <f aca="false">IF(AND(P$4&gt;=$F14,P$4&lt;$F14+$G14),1,"")</f>
        <v/>
      </c>
      <c r="Q14" s="13" t="str">
        <f aca="false">IF(AND(Q$4&gt;=$F14,Q$4&lt;$F14+$G14),1,"")</f>
        <v/>
      </c>
    </row>
    <row r="15" customFormat="false" ht="15" hidden="false" customHeight="true" outlineLevel="0" collapsed="false">
      <c r="A15" s="7" t="n">
        <v>11</v>
      </c>
      <c r="B15" s="8" t="s">
        <v>310</v>
      </c>
      <c r="C15" s="9" t="s">
        <v>315</v>
      </c>
      <c r="D15" s="9" t="s">
        <v>249</v>
      </c>
      <c r="E15" s="7" t="n">
        <v>17</v>
      </c>
      <c r="F15" s="10" t="n">
        <v>5</v>
      </c>
      <c r="G15" s="10" t="n">
        <v>1</v>
      </c>
      <c r="H15" s="7" t="n">
        <f aca="false">F15+G15-1</f>
        <v>5</v>
      </c>
      <c r="I15" s="11" t="s">
        <v>20</v>
      </c>
      <c r="J15" s="13" t="str">
        <f aca="false">IF(AND(J$4&gt;=$F15,J$4&lt;$F15+$G15),1,"")</f>
        <v/>
      </c>
      <c r="K15" s="13" t="str">
        <f aca="false">IF(AND(K$4&gt;=$F15,K$4&lt;$F15+$G15),1,"")</f>
        <v/>
      </c>
      <c r="L15" s="13" t="str">
        <f aca="false">IF(AND(L$4&gt;=$F15,L$4&lt;$F15+$G15),1,"")</f>
        <v/>
      </c>
      <c r="M15" s="13" t="str">
        <f aca="false">IF(AND(M$4&gt;=$F15,M$4&lt;$F15+$G15),1,"")</f>
        <v/>
      </c>
      <c r="N15" s="13" t="n">
        <f aca="false">IF(AND(N$4&gt;=$F15,N$4&lt;$F15+$G15),1,"")</f>
        <v>1</v>
      </c>
      <c r="O15" s="13" t="str">
        <f aca="false">IF(AND(O$4&gt;=$F15,O$4&lt;$F15+$G15),1,"")</f>
        <v/>
      </c>
      <c r="P15" s="13" t="str">
        <f aca="false">IF(AND(P$4&gt;=$F15,P$4&lt;$F15+$G15),1,"")</f>
        <v/>
      </c>
      <c r="Q15" s="13" t="str">
        <f aca="false">IF(AND(Q$4&gt;=$F15,Q$4&lt;$F15+$G15),1,"")</f>
        <v/>
      </c>
    </row>
    <row r="16" customFormat="false" ht="15" hidden="false" customHeight="true" outlineLevel="0" collapsed="false">
      <c r="A16" s="7" t="n">
        <v>12</v>
      </c>
      <c r="B16" s="8" t="s">
        <v>310</v>
      </c>
      <c r="C16" s="9" t="s">
        <v>316</v>
      </c>
      <c r="D16" s="9" t="s">
        <v>287</v>
      </c>
      <c r="E16" s="7" t="n">
        <v>17</v>
      </c>
      <c r="F16" s="10" t="n">
        <v>5</v>
      </c>
      <c r="G16" s="10" t="n">
        <v>1</v>
      </c>
      <c r="H16" s="7" t="n">
        <f aca="false">F16+G16-1</f>
        <v>5</v>
      </c>
      <c r="I16" s="11" t="s">
        <v>20</v>
      </c>
      <c r="J16" s="13" t="str">
        <f aca="false">IF(AND(J$4&gt;=$F16,J$4&lt;$F16+$G16),1,"")</f>
        <v/>
      </c>
      <c r="K16" s="13" t="str">
        <f aca="false">IF(AND(K$4&gt;=$F16,K$4&lt;$F16+$G16),1,"")</f>
        <v/>
      </c>
      <c r="L16" s="13" t="str">
        <f aca="false">IF(AND(L$4&gt;=$F16,L$4&lt;$F16+$G16),1,"")</f>
        <v/>
      </c>
      <c r="M16" s="13" t="str">
        <f aca="false">IF(AND(M$4&gt;=$F16,M$4&lt;$F16+$G16),1,"")</f>
        <v/>
      </c>
      <c r="N16" s="13" t="n">
        <f aca="false">IF(AND(N$4&gt;=$F16,N$4&lt;$F16+$G16),1,"")</f>
        <v>1</v>
      </c>
      <c r="O16" s="13" t="str">
        <f aca="false">IF(AND(O$4&gt;=$F16,O$4&lt;$F16+$G16),1,"")</f>
        <v/>
      </c>
      <c r="P16" s="13" t="str">
        <f aca="false">IF(AND(P$4&gt;=$F16,P$4&lt;$F16+$G16),1,"")</f>
        <v/>
      </c>
      <c r="Q16" s="13" t="str">
        <f aca="false">IF(AND(Q$4&gt;=$F16,Q$4&lt;$F16+$G16),1,"")</f>
        <v/>
      </c>
    </row>
    <row r="17" customFormat="false" ht="15" hidden="false" customHeight="true" outlineLevel="0" collapsed="false">
      <c r="A17" s="7" t="n">
        <v>13</v>
      </c>
      <c r="B17" s="8" t="s">
        <v>317</v>
      </c>
      <c r="C17" s="9" t="s">
        <v>318</v>
      </c>
      <c r="D17" s="9" t="s">
        <v>249</v>
      </c>
      <c r="E17" s="7" t="n">
        <v>14</v>
      </c>
      <c r="F17" s="10" t="n">
        <v>3</v>
      </c>
      <c r="G17" s="10" t="n">
        <v>2</v>
      </c>
      <c r="H17" s="7" t="n">
        <f aca="false">F17+G17-1</f>
        <v>4</v>
      </c>
      <c r="I17" s="11" t="s">
        <v>20</v>
      </c>
      <c r="J17" s="13" t="str">
        <f aca="false">IF(AND(J$4&gt;=$F17,J$4&lt;$F17+$G17),1,"")</f>
        <v/>
      </c>
      <c r="K17" s="13" t="str">
        <f aca="false">IF(AND(K$4&gt;=$F17,K$4&lt;$F17+$G17),1,"")</f>
        <v/>
      </c>
      <c r="L17" s="13" t="n">
        <f aca="false">IF(AND(L$4&gt;=$F17,L$4&lt;$F17+$G17),1,"")</f>
        <v>1</v>
      </c>
      <c r="M17" s="13" t="n">
        <f aca="false">IF(AND(M$4&gt;=$F17,M$4&lt;$F17+$G17),1,"")</f>
        <v>1</v>
      </c>
      <c r="N17" s="13" t="str">
        <f aca="false">IF(AND(N$4&gt;=$F17,N$4&lt;$F17+$G17),1,"")</f>
        <v/>
      </c>
      <c r="O17" s="13" t="str">
        <f aca="false">IF(AND(O$4&gt;=$F17,O$4&lt;$F17+$G17),1,"")</f>
        <v/>
      </c>
      <c r="P17" s="13" t="str">
        <f aca="false">IF(AND(P$4&gt;=$F17,P$4&lt;$F17+$G17),1,"")</f>
        <v/>
      </c>
      <c r="Q17" s="13" t="str">
        <f aca="false">IF(AND(Q$4&gt;=$F17,Q$4&lt;$F17+$G17),1,"")</f>
        <v/>
      </c>
    </row>
    <row r="18" customFormat="false" ht="15" hidden="false" customHeight="true" outlineLevel="0" collapsed="false">
      <c r="A18" s="7" t="n">
        <v>14</v>
      </c>
      <c r="B18" s="8" t="s">
        <v>317</v>
      </c>
      <c r="C18" s="9" t="s">
        <v>319</v>
      </c>
      <c r="D18" s="9" t="s">
        <v>249</v>
      </c>
      <c r="E18" s="7" t="n">
        <v>14</v>
      </c>
      <c r="F18" s="10" t="n">
        <v>4</v>
      </c>
      <c r="G18" s="10" t="n">
        <v>1</v>
      </c>
      <c r="H18" s="7" t="n">
        <f aca="false">F18+G18-1</f>
        <v>4</v>
      </c>
      <c r="I18" s="11" t="s">
        <v>20</v>
      </c>
      <c r="J18" s="13" t="str">
        <f aca="false">IF(AND(J$4&gt;=$F18,J$4&lt;$F18+$G18),1,"")</f>
        <v/>
      </c>
      <c r="K18" s="13" t="str">
        <f aca="false">IF(AND(K$4&gt;=$F18,K$4&lt;$F18+$G18),1,"")</f>
        <v/>
      </c>
      <c r="L18" s="13" t="str">
        <f aca="false">IF(AND(L$4&gt;=$F18,L$4&lt;$F18+$G18),1,"")</f>
        <v/>
      </c>
      <c r="M18" s="13" t="n">
        <f aca="false">IF(AND(M$4&gt;=$F18,M$4&lt;$F18+$G18),1,"")</f>
        <v>1</v>
      </c>
      <c r="N18" s="13" t="str">
        <f aca="false">IF(AND(N$4&gt;=$F18,N$4&lt;$F18+$G18),1,"")</f>
        <v/>
      </c>
      <c r="O18" s="13" t="str">
        <f aca="false">IF(AND(O$4&gt;=$F18,O$4&lt;$F18+$G18),1,"")</f>
        <v/>
      </c>
      <c r="P18" s="13" t="str">
        <f aca="false">IF(AND(P$4&gt;=$F18,P$4&lt;$F18+$G18),1,"")</f>
        <v/>
      </c>
      <c r="Q18" s="13" t="str">
        <f aca="false">IF(AND(Q$4&gt;=$F18,Q$4&lt;$F18+$G18),1,"")</f>
        <v/>
      </c>
    </row>
    <row r="19" customFormat="false" ht="15" hidden="false" customHeight="true" outlineLevel="0" collapsed="false">
      <c r="A19" s="7" t="n">
        <v>15</v>
      </c>
      <c r="B19" s="8" t="s">
        <v>317</v>
      </c>
      <c r="C19" s="9" t="s">
        <v>320</v>
      </c>
      <c r="D19" s="9" t="s">
        <v>287</v>
      </c>
      <c r="E19" s="7" t="n">
        <v>8</v>
      </c>
      <c r="F19" s="10" t="n">
        <v>4</v>
      </c>
      <c r="G19" s="10" t="n">
        <v>1</v>
      </c>
      <c r="H19" s="7" t="n">
        <f aca="false">F19+G19-1</f>
        <v>4</v>
      </c>
      <c r="I19" s="7" t="s">
        <v>28</v>
      </c>
      <c r="J19" s="13" t="str">
        <f aca="false">IF(AND(J$4&gt;=$F19,J$4&lt;$F19+$G19),1,"")</f>
        <v/>
      </c>
      <c r="K19" s="13" t="str">
        <f aca="false">IF(AND(K$4&gt;=$F19,K$4&lt;$F19+$G19),1,"")</f>
        <v/>
      </c>
      <c r="L19" s="13" t="str">
        <f aca="false">IF(AND(L$4&gt;=$F19,L$4&lt;$F19+$G19),1,"")</f>
        <v/>
      </c>
      <c r="M19" s="13" t="n">
        <f aca="false">IF(AND(M$4&gt;=$F19,M$4&lt;$F19+$G19),1,"")</f>
        <v>1</v>
      </c>
      <c r="N19" s="13" t="str">
        <f aca="false">IF(AND(N$4&gt;=$F19,N$4&lt;$F19+$G19),1,"")</f>
        <v/>
      </c>
      <c r="O19" s="13" t="str">
        <f aca="false">IF(AND(O$4&gt;=$F19,O$4&lt;$F19+$G19),1,"")</f>
        <v/>
      </c>
      <c r="P19" s="13" t="str">
        <f aca="false">IF(AND(P$4&gt;=$F19,P$4&lt;$F19+$G19),1,"")</f>
        <v/>
      </c>
      <c r="Q19" s="13" t="str">
        <f aca="false">IF(AND(Q$4&gt;=$F19,Q$4&lt;$F19+$G19),1,"")</f>
        <v/>
      </c>
    </row>
    <row r="20" customFormat="false" ht="15" hidden="false" customHeight="true" outlineLevel="0" collapsed="false">
      <c r="A20" s="7" t="n">
        <v>16</v>
      </c>
      <c r="B20" s="8" t="s">
        <v>317</v>
      </c>
      <c r="C20" s="9" t="s">
        <v>321</v>
      </c>
      <c r="D20" s="9" t="s">
        <v>249</v>
      </c>
      <c r="E20" s="7" t="n">
        <v>1</v>
      </c>
      <c r="F20" s="10" t="n">
        <v>4</v>
      </c>
      <c r="G20" s="10" t="n">
        <v>1</v>
      </c>
      <c r="H20" s="7" t="n">
        <f aca="false">F20+G20-1</f>
        <v>4</v>
      </c>
      <c r="I20" s="11" t="s">
        <v>20</v>
      </c>
      <c r="J20" s="13" t="str">
        <f aca="false">IF(AND(J$4&gt;=$F20,J$4&lt;$F20+$G20),1,"")</f>
        <v/>
      </c>
      <c r="K20" s="13" t="str">
        <f aca="false">IF(AND(K$4&gt;=$F20,K$4&lt;$F20+$G20),1,"")</f>
        <v/>
      </c>
      <c r="L20" s="13" t="str">
        <f aca="false">IF(AND(L$4&gt;=$F20,L$4&lt;$F20+$G20),1,"")</f>
        <v/>
      </c>
      <c r="M20" s="13" t="n">
        <f aca="false">IF(AND(M$4&gt;=$F20,M$4&lt;$F20+$G20),1,"")</f>
        <v>1</v>
      </c>
      <c r="N20" s="13" t="str">
        <f aca="false">IF(AND(N$4&gt;=$F20,N$4&lt;$F20+$G20),1,"")</f>
        <v/>
      </c>
      <c r="O20" s="13" t="str">
        <f aca="false">IF(AND(O$4&gt;=$F20,O$4&lt;$F20+$G20),1,"")</f>
        <v/>
      </c>
      <c r="P20" s="13" t="str">
        <f aca="false">IF(AND(P$4&gt;=$F20,P$4&lt;$F20+$G20),1,"")</f>
        <v/>
      </c>
      <c r="Q20" s="13" t="str">
        <f aca="false">IF(AND(Q$4&gt;=$F20,Q$4&lt;$F20+$G20),1,"")</f>
        <v/>
      </c>
    </row>
    <row r="21" customFormat="false" ht="23.25" hidden="false" customHeight="true" outlineLevel="0" collapsed="false">
      <c r="A21" s="7" t="n">
        <v>17</v>
      </c>
      <c r="B21" s="8" t="s">
        <v>322</v>
      </c>
      <c r="C21" s="9" t="s">
        <v>323</v>
      </c>
      <c r="D21" s="9" t="s">
        <v>324</v>
      </c>
      <c r="E21" s="7" t="n">
        <v>11</v>
      </c>
      <c r="F21" s="10" t="n">
        <v>3</v>
      </c>
      <c r="G21" s="10" t="n">
        <v>1</v>
      </c>
      <c r="H21" s="7" t="n">
        <f aca="false">F21+G21-1</f>
        <v>3</v>
      </c>
      <c r="I21" s="11" t="s">
        <v>20</v>
      </c>
      <c r="J21" s="13" t="str">
        <f aca="false">IF(AND(J$4&gt;=$F21,J$4&lt;$F21+$G21),1,"")</f>
        <v/>
      </c>
      <c r="K21" s="13" t="str">
        <f aca="false">IF(AND(K$4&gt;=$F21,K$4&lt;$F21+$G21),1,"")</f>
        <v/>
      </c>
      <c r="L21" s="13" t="n">
        <f aca="false">IF(AND(L$4&gt;=$F21,L$4&lt;$F21+$G21),1,"")</f>
        <v>1</v>
      </c>
      <c r="M21" s="13" t="str">
        <f aca="false">IF(AND(M$4&gt;=$F21,M$4&lt;$F21+$G21),1,"")</f>
        <v/>
      </c>
      <c r="N21" s="13" t="str">
        <f aca="false">IF(AND(N$4&gt;=$F21,N$4&lt;$F21+$G21),1,"")</f>
        <v/>
      </c>
      <c r="O21" s="13" t="str">
        <f aca="false">IF(AND(O$4&gt;=$F21,O$4&lt;$F21+$G21),1,"")</f>
        <v/>
      </c>
      <c r="P21" s="13" t="str">
        <f aca="false">IF(AND(P$4&gt;=$F21,P$4&lt;$F21+$G21),1,"")</f>
        <v/>
      </c>
      <c r="Q21" s="13" t="str">
        <f aca="false">IF(AND(Q$4&gt;=$F21,Q$4&lt;$F21+$G21),1,"")</f>
        <v/>
      </c>
    </row>
    <row r="22" customFormat="false" ht="15" hidden="false" customHeight="true" outlineLevel="0" collapsed="false">
      <c r="A22" s="7" t="n">
        <v>18</v>
      </c>
      <c r="B22" s="8" t="s">
        <v>322</v>
      </c>
      <c r="C22" s="9" t="s">
        <v>325</v>
      </c>
      <c r="D22" s="9" t="s">
        <v>249</v>
      </c>
      <c r="E22" s="7" t="n">
        <v>11</v>
      </c>
      <c r="F22" s="10" t="n">
        <v>4</v>
      </c>
      <c r="G22" s="10" t="n">
        <v>1</v>
      </c>
      <c r="H22" s="7" t="n">
        <f aca="false">F22+G22-1</f>
        <v>4</v>
      </c>
      <c r="I22" s="11" t="s">
        <v>20</v>
      </c>
      <c r="J22" s="13" t="str">
        <f aca="false">IF(AND(J$4&gt;=$F22,J$4&lt;$F22+$G22),1,"")</f>
        <v/>
      </c>
      <c r="K22" s="13" t="str">
        <f aca="false">IF(AND(K$4&gt;=$F22,K$4&lt;$F22+$G22),1,"")</f>
        <v/>
      </c>
      <c r="L22" s="13" t="str">
        <f aca="false">IF(AND(L$4&gt;=$F22,L$4&lt;$F22+$G22),1,"")</f>
        <v/>
      </c>
      <c r="M22" s="13" t="n">
        <f aca="false">IF(AND(M$4&gt;=$F22,M$4&lt;$F22+$G22),1,"")</f>
        <v>1</v>
      </c>
      <c r="N22" s="13" t="str">
        <f aca="false">IF(AND(N$4&gt;=$F22,N$4&lt;$F22+$G22),1,"")</f>
        <v/>
      </c>
      <c r="O22" s="13" t="str">
        <f aca="false">IF(AND(O$4&gt;=$F22,O$4&lt;$F22+$G22),1,"")</f>
        <v/>
      </c>
      <c r="P22" s="13" t="str">
        <f aca="false">IF(AND(P$4&gt;=$F22,P$4&lt;$F22+$G22),1,"")</f>
        <v/>
      </c>
      <c r="Q22" s="13" t="str">
        <f aca="false">IF(AND(Q$4&gt;=$F22,Q$4&lt;$F22+$G22),1,"")</f>
        <v/>
      </c>
    </row>
    <row r="23" customFormat="false" ht="15" hidden="false" customHeight="true" outlineLevel="0" collapsed="false">
      <c r="A23" s="7" t="n">
        <v>19</v>
      </c>
      <c r="B23" s="8" t="s">
        <v>322</v>
      </c>
      <c r="C23" s="9" t="s">
        <v>326</v>
      </c>
      <c r="D23" s="9" t="s">
        <v>327</v>
      </c>
      <c r="E23" s="7" t="n">
        <v>11</v>
      </c>
      <c r="F23" s="10" t="n">
        <v>4</v>
      </c>
      <c r="G23" s="10" t="n">
        <v>1</v>
      </c>
      <c r="H23" s="7" t="n">
        <f aca="false">F23+G23-1</f>
        <v>4</v>
      </c>
      <c r="I23" s="11" t="s">
        <v>20</v>
      </c>
      <c r="J23" s="13" t="str">
        <f aca="false">IF(AND(J$4&gt;=$F23,J$4&lt;$F23+$G23),1,"")</f>
        <v/>
      </c>
      <c r="K23" s="13" t="str">
        <f aca="false">IF(AND(K$4&gt;=$F23,K$4&lt;$F23+$G23),1,"")</f>
        <v/>
      </c>
      <c r="L23" s="13" t="str">
        <f aca="false">IF(AND(L$4&gt;=$F23,L$4&lt;$F23+$G23),1,"")</f>
        <v/>
      </c>
      <c r="M23" s="13" t="n">
        <f aca="false">IF(AND(M$4&gt;=$F23,M$4&lt;$F23+$G23),1,"")</f>
        <v>1</v>
      </c>
      <c r="N23" s="13" t="str">
        <f aca="false">IF(AND(N$4&gt;=$F23,N$4&lt;$F23+$G23),1,"")</f>
        <v/>
      </c>
      <c r="O23" s="13" t="str">
        <f aca="false">IF(AND(O$4&gt;=$F23,O$4&lt;$F23+$G23),1,"")</f>
        <v/>
      </c>
      <c r="P23" s="13" t="str">
        <f aca="false">IF(AND(P$4&gt;=$F23,P$4&lt;$F23+$G23),1,"")</f>
        <v/>
      </c>
      <c r="Q23" s="13" t="str">
        <f aca="false">IF(AND(Q$4&gt;=$F23,Q$4&lt;$F23+$G23),1,"")</f>
        <v/>
      </c>
    </row>
    <row r="24" customFormat="false" ht="15" hidden="false" customHeight="true" outlineLevel="0" collapsed="false">
      <c r="A24" s="7" t="n">
        <v>20</v>
      </c>
      <c r="B24" s="8" t="s">
        <v>322</v>
      </c>
      <c r="C24" s="9" t="s">
        <v>328</v>
      </c>
      <c r="D24" s="9" t="s">
        <v>249</v>
      </c>
      <c r="E24" s="7" t="n">
        <v>28</v>
      </c>
      <c r="F24" s="10" t="n">
        <v>7</v>
      </c>
      <c r="G24" s="10" t="n">
        <v>1</v>
      </c>
      <c r="H24" s="7" t="n">
        <f aca="false">F24+G24-1</f>
        <v>7</v>
      </c>
      <c r="I24" s="11" t="s">
        <v>20</v>
      </c>
      <c r="J24" s="13" t="str">
        <f aca="false">IF(AND(J$4&gt;=$F24,J$4&lt;$F24+$G24),1,"")</f>
        <v/>
      </c>
      <c r="K24" s="13" t="str">
        <f aca="false">IF(AND(K$4&gt;=$F24,K$4&lt;$F24+$G24),1,"")</f>
        <v/>
      </c>
      <c r="L24" s="13" t="str">
        <f aca="false">IF(AND(L$4&gt;=$F24,L$4&lt;$F24+$G24),1,"")</f>
        <v/>
      </c>
      <c r="M24" s="13" t="str">
        <f aca="false">IF(AND(M$4&gt;=$F24,M$4&lt;$F24+$G24),1,"")</f>
        <v/>
      </c>
      <c r="N24" s="13" t="str">
        <f aca="false">IF(AND(N$4&gt;=$F24,N$4&lt;$F24+$G24),1,"")</f>
        <v/>
      </c>
      <c r="O24" s="13" t="str">
        <f aca="false">IF(AND(O$4&gt;=$F24,O$4&lt;$F24+$G24),1,"")</f>
        <v/>
      </c>
      <c r="P24" s="13" t="n">
        <f aca="false">IF(AND(P$4&gt;=$F24,P$4&lt;$F24+$G24),1,"")</f>
        <v>1</v>
      </c>
      <c r="Q24" s="13" t="str">
        <f aca="false">IF(AND(Q$4&gt;=$F24,Q$4&lt;$F24+$G24),1,"")</f>
        <v/>
      </c>
    </row>
    <row r="25" customFormat="false" ht="15" hidden="false" customHeight="true" outlineLevel="0" collapsed="false">
      <c r="A25" s="7" t="n">
        <v>21</v>
      </c>
      <c r="B25" s="8" t="s">
        <v>322</v>
      </c>
      <c r="C25" s="9" t="s">
        <v>329</v>
      </c>
      <c r="D25" s="9" t="s">
        <v>249</v>
      </c>
      <c r="E25" s="7" t="n">
        <v>16</v>
      </c>
      <c r="F25" s="10" t="n">
        <v>5</v>
      </c>
      <c r="G25" s="10" t="n">
        <v>1</v>
      </c>
      <c r="H25" s="7" t="n">
        <f aca="false">F25+G25-1</f>
        <v>5</v>
      </c>
      <c r="I25" s="11" t="s">
        <v>20</v>
      </c>
      <c r="J25" s="13" t="str">
        <f aca="false">IF(AND(J$4&gt;=$F25,J$4&lt;$F25+$G25),1,"")</f>
        <v/>
      </c>
      <c r="K25" s="13" t="str">
        <f aca="false">IF(AND(K$4&gt;=$F25,K$4&lt;$F25+$G25),1,"")</f>
        <v/>
      </c>
      <c r="L25" s="13" t="str">
        <f aca="false">IF(AND(L$4&gt;=$F25,L$4&lt;$F25+$G25),1,"")</f>
        <v/>
      </c>
      <c r="M25" s="13" t="str">
        <f aca="false">IF(AND(M$4&gt;=$F25,M$4&lt;$F25+$G25),1,"")</f>
        <v/>
      </c>
      <c r="N25" s="13" t="n">
        <f aca="false">IF(AND(N$4&gt;=$F25,N$4&lt;$F25+$G25),1,"")</f>
        <v>1</v>
      </c>
      <c r="O25" s="13" t="str">
        <f aca="false">IF(AND(O$4&gt;=$F25,O$4&lt;$F25+$G25),1,"")</f>
        <v/>
      </c>
      <c r="P25" s="13" t="str">
        <f aca="false">IF(AND(P$4&gt;=$F25,P$4&lt;$F25+$G25),1,"")</f>
        <v/>
      </c>
      <c r="Q25" s="13" t="str">
        <f aca="false">IF(AND(Q$4&gt;=$F25,Q$4&lt;$F25+$G25),1,"")</f>
        <v/>
      </c>
    </row>
    <row r="26" customFormat="false" ht="15" hidden="false" customHeight="true" outlineLevel="0" collapsed="false">
      <c r="A26" s="7" t="n">
        <v>22</v>
      </c>
      <c r="B26" s="8" t="s">
        <v>322</v>
      </c>
      <c r="C26" s="9" t="s">
        <v>330</v>
      </c>
      <c r="D26" s="9" t="s">
        <v>249</v>
      </c>
      <c r="E26" s="7" t="n">
        <v>16</v>
      </c>
      <c r="F26" s="10" t="n">
        <v>6</v>
      </c>
      <c r="G26" s="10" t="n">
        <v>1</v>
      </c>
      <c r="H26" s="7" t="n">
        <f aca="false">F26+G26-1</f>
        <v>6</v>
      </c>
      <c r="I26" s="11" t="s">
        <v>20</v>
      </c>
      <c r="J26" s="13" t="str">
        <f aca="false">IF(AND(J$4&gt;=$F26,J$4&lt;$F26+$G26),1,"")</f>
        <v/>
      </c>
      <c r="K26" s="13" t="str">
        <f aca="false">IF(AND(K$4&gt;=$F26,K$4&lt;$F26+$G26),1,"")</f>
        <v/>
      </c>
      <c r="L26" s="13" t="str">
        <f aca="false">IF(AND(L$4&gt;=$F26,L$4&lt;$F26+$G26),1,"")</f>
        <v/>
      </c>
      <c r="M26" s="13" t="str">
        <f aca="false">IF(AND(M$4&gt;=$F26,M$4&lt;$F26+$G26),1,"")</f>
        <v/>
      </c>
      <c r="N26" s="13" t="str">
        <f aca="false">IF(AND(N$4&gt;=$F26,N$4&lt;$F26+$G26),1,"")</f>
        <v/>
      </c>
      <c r="O26" s="13" t="n">
        <f aca="false">IF(AND(O$4&gt;=$F26,O$4&lt;$F26+$G26),1,"")</f>
        <v>1</v>
      </c>
      <c r="P26" s="13" t="str">
        <f aca="false">IF(AND(P$4&gt;=$F26,P$4&lt;$F26+$G26),1,"")</f>
        <v/>
      </c>
      <c r="Q26" s="13" t="str">
        <f aca="false">IF(AND(Q$4&gt;=$F26,Q$4&lt;$F26+$G26),1,"")</f>
        <v/>
      </c>
    </row>
    <row r="27" customFormat="false" ht="15" hidden="false" customHeight="true" outlineLevel="0" collapsed="false">
      <c r="A27" s="7" t="n">
        <v>23</v>
      </c>
      <c r="B27" s="8" t="s">
        <v>331</v>
      </c>
      <c r="C27" s="9" t="s">
        <v>332</v>
      </c>
      <c r="D27" s="9" t="s">
        <v>249</v>
      </c>
      <c r="E27" s="7" t="n">
        <v>25</v>
      </c>
      <c r="F27" s="10" t="n">
        <v>6</v>
      </c>
      <c r="G27" s="10" t="n">
        <v>1</v>
      </c>
      <c r="H27" s="7" t="n">
        <f aca="false">F27+G27-1</f>
        <v>6</v>
      </c>
      <c r="I27" s="11" t="s">
        <v>20</v>
      </c>
      <c r="J27" s="13" t="str">
        <f aca="false">IF(AND(J$4&gt;=$F27,J$4&lt;$F27+$G27),1,"")</f>
        <v/>
      </c>
      <c r="K27" s="13" t="str">
        <f aca="false">IF(AND(K$4&gt;=$F27,K$4&lt;$F27+$G27),1,"")</f>
        <v/>
      </c>
      <c r="L27" s="13" t="str">
        <f aca="false">IF(AND(L$4&gt;=$F27,L$4&lt;$F27+$G27),1,"")</f>
        <v/>
      </c>
      <c r="M27" s="13" t="str">
        <f aca="false">IF(AND(M$4&gt;=$F27,M$4&lt;$F27+$G27),1,"")</f>
        <v/>
      </c>
      <c r="N27" s="13" t="str">
        <f aca="false">IF(AND(N$4&gt;=$F27,N$4&lt;$F27+$G27),1,"")</f>
        <v/>
      </c>
      <c r="O27" s="13" t="n">
        <f aca="false">IF(AND(O$4&gt;=$F27,O$4&lt;$F27+$G27),1,"")</f>
        <v>1</v>
      </c>
      <c r="P27" s="13" t="str">
        <f aca="false">IF(AND(P$4&gt;=$F27,P$4&lt;$F27+$G27),1,"")</f>
        <v/>
      </c>
      <c r="Q27" s="13" t="str">
        <f aca="false">IF(AND(Q$4&gt;=$F27,Q$4&lt;$F27+$G27),1,"")</f>
        <v/>
      </c>
    </row>
    <row r="28" customFormat="false" ht="15" hidden="false" customHeight="true" outlineLevel="0" collapsed="false">
      <c r="A28" s="7" t="n">
        <v>24</v>
      </c>
      <c r="B28" s="8" t="s">
        <v>331</v>
      </c>
      <c r="C28" s="9" t="s">
        <v>333</v>
      </c>
      <c r="D28" s="9" t="s">
        <v>249</v>
      </c>
      <c r="E28" s="7" t="n">
        <v>24</v>
      </c>
      <c r="F28" s="10" t="n">
        <v>6</v>
      </c>
      <c r="G28" s="10" t="n">
        <v>1</v>
      </c>
      <c r="H28" s="7" t="n">
        <f aca="false">F28+G28-1</f>
        <v>6</v>
      </c>
      <c r="I28" s="11" t="s">
        <v>20</v>
      </c>
      <c r="J28" s="13" t="str">
        <f aca="false">IF(AND(J$4&gt;=$F28,J$4&lt;$F28+$G28),1,"")</f>
        <v/>
      </c>
      <c r="K28" s="13" t="str">
        <f aca="false">IF(AND(K$4&gt;=$F28,K$4&lt;$F28+$G28),1,"")</f>
        <v/>
      </c>
      <c r="L28" s="13" t="str">
        <f aca="false">IF(AND(L$4&gt;=$F28,L$4&lt;$F28+$G28),1,"")</f>
        <v/>
      </c>
      <c r="M28" s="13" t="str">
        <f aca="false">IF(AND(M$4&gt;=$F28,M$4&lt;$F28+$G28),1,"")</f>
        <v/>
      </c>
      <c r="N28" s="13" t="str">
        <f aca="false">IF(AND(N$4&gt;=$F28,N$4&lt;$F28+$G28),1,"")</f>
        <v/>
      </c>
      <c r="O28" s="13" t="n">
        <f aca="false">IF(AND(O$4&gt;=$F28,O$4&lt;$F28+$G28),1,"")</f>
        <v>1</v>
      </c>
      <c r="P28" s="13" t="str">
        <f aca="false">IF(AND(P$4&gt;=$F28,P$4&lt;$F28+$G28),1,"")</f>
        <v/>
      </c>
      <c r="Q28" s="13" t="str">
        <f aca="false">IF(AND(Q$4&gt;=$F28,Q$4&lt;$F28+$G28),1,"")</f>
        <v/>
      </c>
    </row>
    <row r="29" customFormat="false" ht="15" hidden="false" customHeight="true" outlineLevel="0" collapsed="false">
      <c r="A29" s="7" t="n">
        <v>25</v>
      </c>
      <c r="B29" s="8" t="s">
        <v>334</v>
      </c>
      <c r="C29" s="9" t="s">
        <v>335</v>
      </c>
      <c r="D29" s="9" t="s">
        <v>336</v>
      </c>
      <c r="E29" s="7" t="n">
        <v>24</v>
      </c>
      <c r="F29" s="10" t="n">
        <v>6</v>
      </c>
      <c r="G29" s="10" t="n">
        <v>1</v>
      </c>
      <c r="H29" s="7" t="n">
        <f aca="false">F29+G29-1</f>
        <v>6</v>
      </c>
      <c r="I29" s="11" t="s">
        <v>20</v>
      </c>
      <c r="J29" s="13" t="str">
        <f aca="false">IF(AND(J$4&gt;=$F29,J$4&lt;$F29+$G29),1,"")</f>
        <v/>
      </c>
      <c r="K29" s="13" t="str">
        <f aca="false">IF(AND(K$4&gt;=$F29,K$4&lt;$F29+$G29),1,"")</f>
        <v/>
      </c>
      <c r="L29" s="13" t="str">
        <f aca="false">IF(AND(L$4&gt;=$F29,L$4&lt;$F29+$G29),1,"")</f>
        <v/>
      </c>
      <c r="M29" s="13" t="str">
        <f aca="false">IF(AND(M$4&gt;=$F29,M$4&lt;$F29+$G29),1,"")</f>
        <v/>
      </c>
      <c r="N29" s="13" t="str">
        <f aca="false">IF(AND(N$4&gt;=$F29,N$4&lt;$F29+$G29),1,"")</f>
        <v/>
      </c>
      <c r="O29" s="13" t="n">
        <f aca="false">IF(AND(O$4&gt;=$F29,O$4&lt;$F29+$G29),1,"")</f>
        <v>1</v>
      </c>
      <c r="P29" s="13" t="str">
        <f aca="false">IF(AND(P$4&gt;=$F29,P$4&lt;$F29+$G29),1,"")</f>
        <v/>
      </c>
      <c r="Q29" s="13" t="str">
        <f aca="false">IF(AND(Q$4&gt;=$F29,Q$4&lt;$F29+$G29),1,"")</f>
        <v/>
      </c>
    </row>
    <row r="30" customFormat="false" ht="15" hidden="false" customHeight="true" outlineLevel="0" collapsed="false">
      <c r="A30" s="7" t="n">
        <v>26</v>
      </c>
      <c r="B30" s="8" t="s">
        <v>334</v>
      </c>
      <c r="C30" s="9" t="s">
        <v>337</v>
      </c>
      <c r="D30" s="9" t="s">
        <v>338</v>
      </c>
      <c r="E30" s="7" t="n">
        <v>27</v>
      </c>
      <c r="F30" s="10" t="n">
        <v>6</v>
      </c>
      <c r="G30" s="10" t="n">
        <v>1</v>
      </c>
      <c r="H30" s="7" t="n">
        <f aca="false">F30+G30-1</f>
        <v>6</v>
      </c>
      <c r="I30" s="11" t="s">
        <v>20</v>
      </c>
      <c r="J30" s="13" t="str">
        <f aca="false">IF(AND(J$4&gt;=$F30,J$4&lt;$F30+$G30),1,"")</f>
        <v/>
      </c>
      <c r="K30" s="13" t="str">
        <f aca="false">IF(AND(K$4&gt;=$F30,K$4&lt;$F30+$G30),1,"")</f>
        <v/>
      </c>
      <c r="L30" s="13" t="str">
        <f aca="false">IF(AND(L$4&gt;=$F30,L$4&lt;$F30+$G30),1,"")</f>
        <v/>
      </c>
      <c r="M30" s="13" t="str">
        <f aca="false">IF(AND(M$4&gt;=$F30,M$4&lt;$F30+$G30),1,"")</f>
        <v/>
      </c>
      <c r="N30" s="13" t="str">
        <f aca="false">IF(AND(N$4&gt;=$F30,N$4&lt;$F30+$G30),1,"")</f>
        <v/>
      </c>
      <c r="O30" s="13" t="n">
        <f aca="false">IF(AND(O$4&gt;=$F30,O$4&lt;$F30+$G30),1,"")</f>
        <v>1</v>
      </c>
      <c r="P30" s="13" t="str">
        <f aca="false">IF(AND(P$4&gt;=$F30,P$4&lt;$F30+$G30),1,"")</f>
        <v/>
      </c>
      <c r="Q30" s="13" t="str">
        <f aca="false">IF(AND(Q$4&gt;=$F30,Q$4&lt;$F30+$G30),1,"")</f>
        <v/>
      </c>
    </row>
    <row r="31" customFormat="false" ht="15" hidden="false" customHeight="true" outlineLevel="0" collapsed="false">
      <c r="A31" s="7" t="n">
        <v>27</v>
      </c>
      <c r="B31" s="8" t="s">
        <v>339</v>
      </c>
      <c r="C31" s="9" t="s">
        <v>340</v>
      </c>
      <c r="D31" s="9" t="s">
        <v>246</v>
      </c>
      <c r="E31" s="7" t="n">
        <v>1</v>
      </c>
      <c r="F31" s="10" t="n">
        <v>7</v>
      </c>
      <c r="G31" s="10" t="n">
        <v>1</v>
      </c>
      <c r="H31" s="7" t="n">
        <f aca="false">F31+G31-1</f>
        <v>7</v>
      </c>
      <c r="I31" s="11" t="s">
        <v>20</v>
      </c>
      <c r="J31" s="13" t="str">
        <f aca="false">IF(AND(J$4&gt;=$F31,J$4&lt;$F31+$G31),1,"")</f>
        <v/>
      </c>
      <c r="K31" s="13" t="str">
        <f aca="false">IF(AND(K$4&gt;=$F31,K$4&lt;$F31+$G31),1,"")</f>
        <v/>
      </c>
      <c r="L31" s="13" t="str">
        <f aca="false">IF(AND(L$4&gt;=$F31,L$4&lt;$F31+$G31),1,"")</f>
        <v/>
      </c>
      <c r="M31" s="13" t="str">
        <f aca="false">IF(AND(M$4&gt;=$F31,M$4&lt;$F31+$G31),1,"")</f>
        <v/>
      </c>
      <c r="N31" s="13" t="str">
        <f aca="false">IF(AND(N$4&gt;=$F31,N$4&lt;$F31+$G31),1,"")</f>
        <v/>
      </c>
      <c r="O31" s="13" t="str">
        <f aca="false">IF(AND(O$4&gt;=$F31,O$4&lt;$F31+$G31),1,"")</f>
        <v/>
      </c>
      <c r="P31" s="13" t="n">
        <f aca="false">IF(AND(P$4&gt;=$F31,P$4&lt;$F31+$G31),1,"")</f>
        <v>1</v>
      </c>
      <c r="Q31" s="13" t="str">
        <f aca="false">IF(AND(Q$4&gt;=$F31,Q$4&lt;$F31+$G31),1,"")</f>
        <v/>
      </c>
    </row>
    <row r="32" customFormat="false" ht="15" hidden="false" customHeight="true" outlineLevel="0" collapsed="false">
      <c r="A32" s="7" t="n">
        <v>28</v>
      </c>
      <c r="B32" s="8" t="s">
        <v>341</v>
      </c>
      <c r="C32" s="9" t="s">
        <v>342</v>
      </c>
      <c r="D32" s="9" t="s">
        <v>343</v>
      </c>
      <c r="E32" s="7" t="n">
        <v>35</v>
      </c>
      <c r="F32" s="10" t="n">
        <v>7</v>
      </c>
      <c r="G32" s="10" t="n">
        <v>1</v>
      </c>
      <c r="H32" s="7" t="n">
        <f aca="false">F32+G32-1</f>
        <v>7</v>
      </c>
      <c r="I32" s="11" t="s">
        <v>20</v>
      </c>
      <c r="J32" s="13" t="str">
        <f aca="false">IF(AND(J$4&gt;=$F32,J$4&lt;$F32+$G32),1,"")</f>
        <v/>
      </c>
      <c r="K32" s="13" t="str">
        <f aca="false">IF(AND(K$4&gt;=$F32,K$4&lt;$F32+$G32),1,"")</f>
        <v/>
      </c>
      <c r="L32" s="13" t="str">
        <f aca="false">IF(AND(L$4&gt;=$F32,L$4&lt;$F32+$G32),1,"")</f>
        <v/>
      </c>
      <c r="M32" s="13" t="str">
        <f aca="false">IF(AND(M$4&gt;=$F32,M$4&lt;$F32+$G32),1,"")</f>
        <v/>
      </c>
      <c r="N32" s="13" t="str">
        <f aca="false">IF(AND(N$4&gt;=$F32,N$4&lt;$F32+$G32),1,"")</f>
        <v/>
      </c>
      <c r="O32" s="13" t="str">
        <f aca="false">IF(AND(O$4&gt;=$F32,O$4&lt;$F32+$G32),1,"")</f>
        <v/>
      </c>
      <c r="P32" s="13" t="n">
        <f aca="false">IF(AND(P$4&gt;=$F32,P$4&lt;$F32+$G32),1,"")</f>
        <v>1</v>
      </c>
      <c r="Q32" s="13" t="str">
        <f aca="false">IF(AND(Q$4&gt;=$F32,Q$4&lt;$F32+$G32),1,"")</f>
        <v/>
      </c>
    </row>
    <row r="33" customFormat="false" ht="15" hidden="false" customHeight="true" outlineLevel="0" collapsed="false">
      <c r="A33" s="7" t="n">
        <v>29</v>
      </c>
      <c r="B33" s="8" t="s">
        <v>344</v>
      </c>
      <c r="C33" s="9" t="s">
        <v>345</v>
      </c>
      <c r="D33" s="9" t="s">
        <v>292</v>
      </c>
      <c r="E33" s="7" t="n">
        <v>35</v>
      </c>
      <c r="F33" s="10" t="n">
        <v>7</v>
      </c>
      <c r="G33" s="10" t="n">
        <v>1</v>
      </c>
      <c r="H33" s="7" t="n">
        <f aca="false">F33+G33-1</f>
        <v>7</v>
      </c>
      <c r="I33" s="11" t="s">
        <v>20</v>
      </c>
      <c r="J33" s="13" t="str">
        <f aca="false">IF(AND(J$4&gt;=$F33,J$4&lt;$F33+$G33),1,"")</f>
        <v/>
      </c>
      <c r="K33" s="13" t="str">
        <f aca="false">IF(AND(K$4&gt;=$F33,K$4&lt;$F33+$G33),1,"")</f>
        <v/>
      </c>
      <c r="L33" s="13" t="str">
        <f aca="false">IF(AND(L$4&gt;=$F33,L$4&lt;$F33+$G33),1,"")</f>
        <v/>
      </c>
      <c r="M33" s="13" t="str">
        <f aca="false">IF(AND(M$4&gt;=$F33,M$4&lt;$F33+$G33),1,"")</f>
        <v/>
      </c>
      <c r="N33" s="13" t="str">
        <f aca="false">IF(AND(N$4&gt;=$F33,N$4&lt;$F33+$G33),1,"")</f>
        <v/>
      </c>
      <c r="O33" s="13" t="str">
        <f aca="false">IF(AND(O$4&gt;=$F33,O$4&lt;$F33+$G33),1,"")</f>
        <v/>
      </c>
      <c r="P33" s="13" t="n">
        <f aca="false">IF(AND(P$4&gt;=$F33,P$4&lt;$F33+$G33),1,"")</f>
        <v>1</v>
      </c>
      <c r="Q33" s="13" t="str">
        <f aca="false">IF(AND(Q$4&gt;=$F33,Q$4&lt;$F33+$G33),1,"")</f>
        <v/>
      </c>
    </row>
    <row r="35" customFormat="false" ht="15" hidden="false" customHeight="true" outlineLevel="0" collapsed="false">
      <c r="A35" s="3" t="s">
        <v>295</v>
      </c>
    </row>
    <row r="36" customFormat="false" ht="15" hidden="false" customHeight="true" outlineLevel="0" collapsed="false">
      <c r="A36" s="3" t="s">
        <v>296</v>
      </c>
    </row>
  </sheetData>
  <conditionalFormatting sqref="J5:Q33">
    <cfRule type="expression" priority="2" aboveAverage="0" equalAverage="0" bottom="0" percent="0" rank="0" text="" dxfId="1">
      <formula>AND(J5=1,$I5="Si")</formula>
    </cfRule>
    <cfRule type="expression" priority="3" aboveAverage="0" equalAverage="0" bottom="0" percent="0" rank="0" text="" dxfId="2">
      <formula>AND(J5=1,$I5="No")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62"/>
    <col collapsed="false" customWidth="true" hidden="false" outlineLevel="0" max="4" min="4" style="1" width="26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7"/>
    <col collapsed="false" customWidth="true" hidden="false" outlineLevel="0" max="10" min="9" style="1" width="9"/>
    <col collapsed="false" customWidth="true" hidden="false" outlineLevel="0" max="18" min="11" style="1" width="4.6"/>
  </cols>
  <sheetData>
    <row r="1" customFormat="false" ht="17.25" hidden="false" customHeight="true" outlineLevel="0" collapsed="false">
      <c r="A1" s="2" t="s">
        <v>346</v>
      </c>
    </row>
    <row r="2" customFormat="false" ht="15" hidden="false" customHeight="true" outlineLevel="0" collapsed="false">
      <c r="A2" s="3" t="s">
        <v>239</v>
      </c>
    </row>
    <row r="3" customFormat="false" ht="15" hidden="false" customHeight="true" outlineLevel="0" collapsed="false">
      <c r="J3" s="4" t="s">
        <v>3</v>
      </c>
    </row>
    <row r="4" customFormat="false" ht="30" hidden="false" customHeight="true" outlineLevel="0" collapsed="false">
      <c r="A4" s="5" t="s">
        <v>4</v>
      </c>
      <c r="B4" s="5" t="s">
        <v>240</v>
      </c>
      <c r="C4" s="5" t="s">
        <v>241</v>
      </c>
      <c r="D4" s="5" t="s">
        <v>242</v>
      </c>
      <c r="E4" s="5" t="s">
        <v>243</v>
      </c>
      <c r="F4" s="5" t="s">
        <v>9</v>
      </c>
      <c r="G4" s="5" t="s">
        <v>10</v>
      </c>
      <c r="H4" s="5" t="s">
        <v>11</v>
      </c>
      <c r="I4" s="5" t="s">
        <v>12</v>
      </c>
      <c r="J4" s="6" t="n">
        <v>1</v>
      </c>
      <c r="K4" s="6" t="n">
        <v>2</v>
      </c>
      <c r="L4" s="6" t="n">
        <v>3</v>
      </c>
      <c r="M4" s="6" t="n">
        <v>4</v>
      </c>
      <c r="N4" s="6" t="n">
        <v>5</v>
      </c>
      <c r="O4" s="6" t="n">
        <v>6</v>
      </c>
      <c r="P4" s="6" t="n">
        <v>7</v>
      </c>
      <c r="Q4" s="6" t="n">
        <v>8</v>
      </c>
    </row>
    <row r="5" customFormat="false" ht="15" hidden="false" customHeight="true" outlineLevel="0" collapsed="false">
      <c r="A5" s="7" t="n">
        <v>1</v>
      </c>
      <c r="B5" s="8" t="s">
        <v>347</v>
      </c>
      <c r="C5" s="9" t="s">
        <v>348</v>
      </c>
      <c r="D5" s="9" t="s">
        <v>349</v>
      </c>
      <c r="E5" s="7" t="n">
        <v>11</v>
      </c>
      <c r="F5" s="10" t="n">
        <v>3</v>
      </c>
      <c r="G5" s="10" t="n">
        <v>1</v>
      </c>
      <c r="H5" s="7" t="n">
        <f aca="false">F5+G5-1</f>
        <v>3</v>
      </c>
      <c r="I5" s="11" t="s">
        <v>20</v>
      </c>
      <c r="J5" s="13" t="str">
        <f aca="false">IF(AND(J$4&gt;=$F5,J$4&lt;$F5+$G5),1,"")</f>
        <v/>
      </c>
      <c r="K5" s="13" t="str">
        <f aca="false">IF(AND(K$4&gt;=$F5,K$4&lt;$F5+$G5),1,"")</f>
        <v/>
      </c>
      <c r="L5" s="13" t="n">
        <f aca="false">IF(AND(L$4&gt;=$F5,L$4&lt;$F5+$G5),1,"")</f>
        <v>1</v>
      </c>
      <c r="M5" s="13" t="str">
        <f aca="false">IF(AND(M$4&gt;=$F5,M$4&lt;$F5+$G5),1,"")</f>
        <v/>
      </c>
      <c r="N5" s="13" t="str">
        <f aca="false">IF(AND(N$4&gt;=$F5,N$4&lt;$F5+$G5),1,"")</f>
        <v/>
      </c>
      <c r="O5" s="13" t="str">
        <f aca="false">IF(AND(O$4&gt;=$F5,O$4&lt;$F5+$G5),1,"")</f>
        <v/>
      </c>
      <c r="P5" s="13" t="str">
        <f aca="false">IF(AND(P$4&gt;=$F5,P$4&lt;$F5+$G5),1,"")</f>
        <v/>
      </c>
      <c r="Q5" s="13" t="str">
        <f aca="false">IF(AND(Q$4&gt;=$F5,Q$4&lt;$F5+$G5),1,"")</f>
        <v/>
      </c>
    </row>
    <row r="6" customFormat="false" ht="15" hidden="false" customHeight="true" outlineLevel="0" collapsed="false">
      <c r="A6" s="7" t="n">
        <v>2</v>
      </c>
      <c r="B6" s="8" t="s">
        <v>347</v>
      </c>
      <c r="C6" s="9" t="s">
        <v>350</v>
      </c>
      <c r="D6" s="9" t="s">
        <v>351</v>
      </c>
      <c r="E6" s="7" t="n">
        <v>11</v>
      </c>
      <c r="F6" s="10" t="n">
        <v>3</v>
      </c>
      <c r="G6" s="10" t="n">
        <v>1</v>
      </c>
      <c r="H6" s="7" t="n">
        <f aca="false">F6+G6-1</f>
        <v>3</v>
      </c>
      <c r="I6" s="11" t="s">
        <v>20</v>
      </c>
      <c r="J6" s="13" t="str">
        <f aca="false">IF(AND(J$4&gt;=$F6,J$4&lt;$F6+$G6),1,"")</f>
        <v/>
      </c>
      <c r="K6" s="13" t="str">
        <f aca="false">IF(AND(K$4&gt;=$F6,K$4&lt;$F6+$G6),1,"")</f>
        <v/>
      </c>
      <c r="L6" s="13" t="n">
        <f aca="false">IF(AND(L$4&gt;=$F6,L$4&lt;$F6+$G6),1,"")</f>
        <v>1</v>
      </c>
      <c r="M6" s="13" t="str">
        <f aca="false">IF(AND(M$4&gt;=$F6,M$4&lt;$F6+$G6),1,"")</f>
        <v/>
      </c>
      <c r="N6" s="13" t="str">
        <f aca="false">IF(AND(N$4&gt;=$F6,N$4&lt;$F6+$G6),1,"")</f>
        <v/>
      </c>
      <c r="O6" s="13" t="str">
        <f aca="false">IF(AND(O$4&gt;=$F6,O$4&lt;$F6+$G6),1,"")</f>
        <v/>
      </c>
      <c r="P6" s="13" t="str">
        <f aca="false">IF(AND(P$4&gt;=$F6,P$4&lt;$F6+$G6),1,"")</f>
        <v/>
      </c>
      <c r="Q6" s="13" t="str">
        <f aca="false">IF(AND(Q$4&gt;=$F6,Q$4&lt;$F6+$G6),1,"")</f>
        <v/>
      </c>
    </row>
    <row r="7" customFormat="false" ht="15" hidden="false" customHeight="true" outlineLevel="0" collapsed="false">
      <c r="A7" s="7" t="n">
        <v>3</v>
      </c>
      <c r="B7" s="8" t="s">
        <v>352</v>
      </c>
      <c r="C7" s="9" t="s">
        <v>353</v>
      </c>
      <c r="D7" s="9" t="s">
        <v>354</v>
      </c>
      <c r="E7" s="7" t="n">
        <v>5</v>
      </c>
      <c r="F7" s="10" t="n">
        <v>3</v>
      </c>
      <c r="G7" s="10" t="n">
        <v>1</v>
      </c>
      <c r="H7" s="7" t="n">
        <f aca="false">F7+G7-1</f>
        <v>3</v>
      </c>
      <c r="I7" s="11" t="s">
        <v>20</v>
      </c>
      <c r="J7" s="13" t="str">
        <f aca="false">IF(AND(J$4&gt;=$F7,J$4&lt;$F7+$G7),1,"")</f>
        <v/>
      </c>
      <c r="K7" s="13" t="str">
        <f aca="false">IF(AND(K$4&gt;=$F7,K$4&lt;$F7+$G7),1,"")</f>
        <v/>
      </c>
      <c r="L7" s="13" t="n">
        <f aca="false">IF(AND(L$4&gt;=$F7,L$4&lt;$F7+$G7),1,"")</f>
        <v>1</v>
      </c>
      <c r="M7" s="13" t="str">
        <f aca="false">IF(AND(M$4&gt;=$F7,M$4&lt;$F7+$G7),1,"")</f>
        <v/>
      </c>
      <c r="N7" s="13" t="str">
        <f aca="false">IF(AND(N$4&gt;=$F7,N$4&lt;$F7+$G7),1,"")</f>
        <v/>
      </c>
      <c r="O7" s="13" t="str">
        <f aca="false">IF(AND(O$4&gt;=$F7,O$4&lt;$F7+$G7),1,"")</f>
        <v/>
      </c>
      <c r="P7" s="13" t="str">
        <f aca="false">IF(AND(P$4&gt;=$F7,P$4&lt;$F7+$G7),1,"")</f>
        <v/>
      </c>
      <c r="Q7" s="13" t="str">
        <f aca="false">IF(AND(Q$4&gt;=$F7,Q$4&lt;$F7+$G7),1,"")</f>
        <v/>
      </c>
    </row>
    <row r="8" customFormat="false" ht="15" hidden="false" customHeight="true" outlineLevel="0" collapsed="false">
      <c r="A8" s="7" t="n">
        <v>4</v>
      </c>
      <c r="B8" s="8" t="s">
        <v>352</v>
      </c>
      <c r="C8" s="9" t="s">
        <v>355</v>
      </c>
      <c r="D8" s="9" t="s">
        <v>354</v>
      </c>
      <c r="E8" s="7" t="n">
        <v>15</v>
      </c>
      <c r="F8" s="10" t="n">
        <v>3</v>
      </c>
      <c r="G8" s="10" t="n">
        <v>2</v>
      </c>
      <c r="H8" s="7" t="n">
        <f aca="false">F8+G8-1</f>
        <v>4</v>
      </c>
      <c r="I8" s="7" t="s">
        <v>28</v>
      </c>
      <c r="J8" s="13" t="str">
        <f aca="false">IF(AND(J$4&gt;=$F8,J$4&lt;$F8+$G8),1,"")</f>
        <v/>
      </c>
      <c r="K8" s="13" t="str">
        <f aca="false">IF(AND(K$4&gt;=$F8,K$4&lt;$F8+$G8),1,"")</f>
        <v/>
      </c>
      <c r="L8" s="13" t="n">
        <f aca="false">IF(AND(L$4&gt;=$F8,L$4&lt;$F8+$G8),1,"")</f>
        <v>1</v>
      </c>
      <c r="M8" s="13" t="n">
        <f aca="false">IF(AND(M$4&gt;=$F8,M$4&lt;$F8+$G8),1,"")</f>
        <v>1</v>
      </c>
      <c r="N8" s="13" t="str">
        <f aca="false">IF(AND(N$4&gt;=$F8,N$4&lt;$F8+$G8),1,"")</f>
        <v/>
      </c>
      <c r="O8" s="13" t="str">
        <f aca="false">IF(AND(O$4&gt;=$F8,O$4&lt;$F8+$G8),1,"")</f>
        <v/>
      </c>
      <c r="P8" s="13" t="str">
        <f aca="false">IF(AND(P$4&gt;=$F8,P$4&lt;$F8+$G8),1,"")</f>
        <v/>
      </c>
      <c r="Q8" s="13" t="str">
        <f aca="false">IF(AND(Q$4&gt;=$F8,Q$4&lt;$F8+$G8),1,"")</f>
        <v/>
      </c>
    </row>
    <row r="9" customFormat="false" ht="15" hidden="false" customHeight="true" outlineLevel="0" collapsed="false">
      <c r="A9" s="7" t="n">
        <v>5</v>
      </c>
      <c r="B9" s="8" t="s">
        <v>352</v>
      </c>
      <c r="C9" s="9" t="s">
        <v>356</v>
      </c>
      <c r="D9" s="9" t="s">
        <v>354</v>
      </c>
      <c r="E9" s="7" t="n">
        <v>16</v>
      </c>
      <c r="F9" s="10" t="n">
        <v>3</v>
      </c>
      <c r="G9" s="10" t="n">
        <v>2</v>
      </c>
      <c r="H9" s="7" t="n">
        <f aca="false">F9+G9-1</f>
        <v>4</v>
      </c>
      <c r="I9" s="11" t="s">
        <v>20</v>
      </c>
      <c r="J9" s="13" t="str">
        <f aca="false">IF(AND(J$4&gt;=$F9,J$4&lt;$F9+$G9),1,"")</f>
        <v/>
      </c>
      <c r="K9" s="13" t="str">
        <f aca="false">IF(AND(K$4&gt;=$F9,K$4&lt;$F9+$G9),1,"")</f>
        <v/>
      </c>
      <c r="L9" s="13" t="n">
        <f aca="false">IF(AND(L$4&gt;=$F9,L$4&lt;$F9+$G9),1,"")</f>
        <v>1</v>
      </c>
      <c r="M9" s="13" t="n">
        <f aca="false">IF(AND(M$4&gt;=$F9,M$4&lt;$F9+$G9),1,"")</f>
        <v>1</v>
      </c>
      <c r="N9" s="13" t="str">
        <f aca="false">IF(AND(N$4&gt;=$F9,N$4&lt;$F9+$G9),1,"")</f>
        <v/>
      </c>
      <c r="O9" s="13" t="str">
        <f aca="false">IF(AND(O$4&gt;=$F9,O$4&lt;$F9+$G9),1,"")</f>
        <v/>
      </c>
      <c r="P9" s="13" t="str">
        <f aca="false">IF(AND(P$4&gt;=$F9,P$4&lt;$F9+$G9),1,"")</f>
        <v/>
      </c>
      <c r="Q9" s="13" t="str">
        <f aca="false">IF(AND(Q$4&gt;=$F9,Q$4&lt;$F9+$G9),1,"")</f>
        <v/>
      </c>
    </row>
    <row r="10" customFormat="false" ht="15" hidden="false" customHeight="true" outlineLevel="0" collapsed="false">
      <c r="A10" s="7" t="n">
        <v>6</v>
      </c>
      <c r="B10" s="8" t="s">
        <v>352</v>
      </c>
      <c r="C10" s="9" t="s">
        <v>357</v>
      </c>
      <c r="D10" s="9" t="s">
        <v>358</v>
      </c>
      <c r="E10" s="7" t="n">
        <v>16</v>
      </c>
      <c r="F10" s="10" t="n">
        <v>3</v>
      </c>
      <c r="G10" s="10" t="n">
        <v>1</v>
      </c>
      <c r="H10" s="7" t="n">
        <f aca="false">F10+G10-1</f>
        <v>3</v>
      </c>
      <c r="I10" s="11" t="s">
        <v>20</v>
      </c>
      <c r="J10" s="13" t="str">
        <f aca="false">IF(AND(J$4&gt;=$F10,J$4&lt;$F10+$G10),1,"")</f>
        <v/>
      </c>
      <c r="K10" s="13" t="str">
        <f aca="false">IF(AND(K$4&gt;=$F10,K$4&lt;$F10+$G10),1,"")</f>
        <v/>
      </c>
      <c r="L10" s="13" t="n">
        <f aca="false">IF(AND(L$4&gt;=$F10,L$4&lt;$F10+$G10),1,"")</f>
        <v>1</v>
      </c>
      <c r="M10" s="13" t="str">
        <f aca="false">IF(AND(M$4&gt;=$F10,M$4&lt;$F10+$G10),1,"")</f>
        <v/>
      </c>
      <c r="N10" s="13" t="str">
        <f aca="false">IF(AND(N$4&gt;=$F10,N$4&lt;$F10+$G10),1,"")</f>
        <v/>
      </c>
      <c r="O10" s="13" t="str">
        <f aca="false">IF(AND(O$4&gt;=$F10,O$4&lt;$F10+$G10),1,"")</f>
        <v/>
      </c>
      <c r="P10" s="13" t="str">
        <f aca="false">IF(AND(P$4&gt;=$F10,P$4&lt;$F10+$G10),1,"")</f>
        <v/>
      </c>
      <c r="Q10" s="13" t="str">
        <f aca="false">IF(AND(Q$4&gt;=$F10,Q$4&lt;$F10+$G10),1,"")</f>
        <v/>
      </c>
    </row>
    <row r="11" customFormat="false" ht="15" hidden="false" customHeight="true" outlineLevel="0" collapsed="false">
      <c r="A11" s="7" t="n">
        <v>7</v>
      </c>
      <c r="B11" s="8" t="s">
        <v>352</v>
      </c>
      <c r="C11" s="9" t="s">
        <v>359</v>
      </c>
      <c r="D11" s="9" t="s">
        <v>354</v>
      </c>
      <c r="E11" s="7" t="n">
        <v>16</v>
      </c>
      <c r="F11" s="10" t="n">
        <v>4</v>
      </c>
      <c r="G11" s="10" t="n">
        <v>1</v>
      </c>
      <c r="H11" s="7" t="n">
        <f aca="false">F11+G11-1</f>
        <v>4</v>
      </c>
      <c r="I11" s="11" t="s">
        <v>20</v>
      </c>
      <c r="J11" s="13" t="str">
        <f aca="false">IF(AND(J$4&gt;=$F11,J$4&lt;$F11+$G11),1,"")</f>
        <v/>
      </c>
      <c r="K11" s="13" t="str">
        <f aca="false">IF(AND(K$4&gt;=$F11,K$4&lt;$F11+$G11),1,"")</f>
        <v/>
      </c>
      <c r="L11" s="13" t="str">
        <f aca="false">IF(AND(L$4&gt;=$F11,L$4&lt;$F11+$G11),1,"")</f>
        <v/>
      </c>
      <c r="M11" s="13" t="n">
        <f aca="false">IF(AND(M$4&gt;=$F11,M$4&lt;$F11+$G11),1,"")</f>
        <v>1</v>
      </c>
      <c r="N11" s="13" t="str">
        <f aca="false">IF(AND(N$4&gt;=$F11,N$4&lt;$F11+$G11),1,"")</f>
        <v/>
      </c>
      <c r="O11" s="13" t="str">
        <f aca="false">IF(AND(O$4&gt;=$F11,O$4&lt;$F11+$G11),1,"")</f>
        <v/>
      </c>
      <c r="P11" s="13" t="str">
        <f aca="false">IF(AND(P$4&gt;=$F11,P$4&lt;$F11+$G11),1,"")</f>
        <v/>
      </c>
      <c r="Q11" s="13" t="str">
        <f aca="false">IF(AND(Q$4&gt;=$F11,Q$4&lt;$F11+$G11),1,"")</f>
        <v/>
      </c>
    </row>
    <row r="12" customFormat="false" ht="15" hidden="false" customHeight="true" outlineLevel="0" collapsed="false">
      <c r="A12" s="7" t="n">
        <v>8</v>
      </c>
      <c r="B12" s="8" t="s">
        <v>352</v>
      </c>
      <c r="C12" s="9" t="s">
        <v>360</v>
      </c>
      <c r="D12" s="9" t="s">
        <v>361</v>
      </c>
      <c r="E12" s="7" t="n">
        <v>27</v>
      </c>
      <c r="F12" s="10" t="n">
        <v>4</v>
      </c>
      <c r="G12" s="10" t="n">
        <v>1</v>
      </c>
      <c r="H12" s="7" t="n">
        <f aca="false">F12+G12-1</f>
        <v>4</v>
      </c>
      <c r="I12" s="7" t="s">
        <v>28</v>
      </c>
      <c r="J12" s="13" t="str">
        <f aca="false">IF(AND(J$4&gt;=$F12,J$4&lt;$F12+$G12),1,"")</f>
        <v/>
      </c>
      <c r="K12" s="13" t="str">
        <f aca="false">IF(AND(K$4&gt;=$F12,K$4&lt;$F12+$G12),1,"")</f>
        <v/>
      </c>
      <c r="L12" s="13" t="str">
        <f aca="false">IF(AND(L$4&gt;=$F12,L$4&lt;$F12+$G12),1,"")</f>
        <v/>
      </c>
      <c r="M12" s="13" t="n">
        <f aca="false">IF(AND(M$4&gt;=$F12,M$4&lt;$F12+$G12),1,"")</f>
        <v>1</v>
      </c>
      <c r="N12" s="13" t="str">
        <f aca="false">IF(AND(N$4&gt;=$F12,N$4&lt;$F12+$G12),1,"")</f>
        <v/>
      </c>
      <c r="O12" s="13" t="str">
        <f aca="false">IF(AND(O$4&gt;=$F12,O$4&lt;$F12+$G12),1,"")</f>
        <v/>
      </c>
      <c r="P12" s="13" t="str">
        <f aca="false">IF(AND(P$4&gt;=$F12,P$4&lt;$F12+$G12),1,"")</f>
        <v/>
      </c>
      <c r="Q12" s="13" t="str">
        <f aca="false">IF(AND(Q$4&gt;=$F12,Q$4&lt;$F12+$G12),1,"")</f>
        <v/>
      </c>
    </row>
    <row r="13" customFormat="false" ht="15" hidden="false" customHeight="true" outlineLevel="0" collapsed="false">
      <c r="A13" s="7" t="n">
        <v>9</v>
      </c>
      <c r="B13" s="8" t="s">
        <v>352</v>
      </c>
      <c r="C13" s="9" t="s">
        <v>66</v>
      </c>
      <c r="D13" s="9" t="s">
        <v>362</v>
      </c>
      <c r="E13" s="7" t="n">
        <v>17</v>
      </c>
      <c r="F13" s="10" t="n">
        <v>4</v>
      </c>
      <c r="G13" s="10" t="n">
        <v>2</v>
      </c>
      <c r="H13" s="7" t="n">
        <f aca="false">F13+G13-1</f>
        <v>5</v>
      </c>
      <c r="I13" s="11" t="s">
        <v>20</v>
      </c>
      <c r="J13" s="13" t="str">
        <f aca="false">IF(AND(J$4&gt;=$F13,J$4&lt;$F13+$G13),1,"")</f>
        <v/>
      </c>
      <c r="K13" s="13" t="str">
        <f aca="false">IF(AND(K$4&gt;=$F13,K$4&lt;$F13+$G13),1,"")</f>
        <v/>
      </c>
      <c r="L13" s="13" t="str">
        <f aca="false">IF(AND(L$4&gt;=$F13,L$4&lt;$F13+$G13),1,"")</f>
        <v/>
      </c>
      <c r="M13" s="13" t="n">
        <f aca="false">IF(AND(M$4&gt;=$F13,M$4&lt;$F13+$G13),1,"")</f>
        <v>1</v>
      </c>
      <c r="N13" s="13" t="n">
        <f aca="false">IF(AND(N$4&gt;=$F13,N$4&lt;$F13+$G13),1,"")</f>
        <v>1</v>
      </c>
      <c r="O13" s="13" t="str">
        <f aca="false">IF(AND(O$4&gt;=$F13,O$4&lt;$F13+$G13),1,"")</f>
        <v/>
      </c>
      <c r="P13" s="13" t="str">
        <f aca="false">IF(AND(P$4&gt;=$F13,P$4&lt;$F13+$G13),1,"")</f>
        <v/>
      </c>
      <c r="Q13" s="13" t="str">
        <f aca="false">IF(AND(Q$4&gt;=$F13,Q$4&lt;$F13+$G13),1,"")</f>
        <v/>
      </c>
    </row>
    <row r="14" customFormat="false" ht="23.25" hidden="false" customHeight="true" outlineLevel="0" collapsed="false">
      <c r="A14" s="7" t="n">
        <v>10</v>
      </c>
      <c r="B14" s="8" t="s">
        <v>352</v>
      </c>
      <c r="C14" s="9" t="s">
        <v>363</v>
      </c>
      <c r="D14" s="9" t="s">
        <v>364</v>
      </c>
      <c r="E14" s="7" t="n">
        <v>18</v>
      </c>
      <c r="F14" s="10" t="n">
        <v>4</v>
      </c>
      <c r="G14" s="10" t="n">
        <v>1</v>
      </c>
      <c r="H14" s="7" t="n">
        <f aca="false">F14+G14-1</f>
        <v>4</v>
      </c>
      <c r="I14" s="11" t="s">
        <v>20</v>
      </c>
      <c r="J14" s="13" t="str">
        <f aca="false">IF(AND(J$4&gt;=$F14,J$4&lt;$F14+$G14),1,"")</f>
        <v/>
      </c>
      <c r="K14" s="13" t="str">
        <f aca="false">IF(AND(K$4&gt;=$F14,K$4&lt;$F14+$G14),1,"")</f>
        <v/>
      </c>
      <c r="L14" s="13" t="str">
        <f aca="false">IF(AND(L$4&gt;=$F14,L$4&lt;$F14+$G14),1,"")</f>
        <v/>
      </c>
      <c r="M14" s="13" t="n">
        <f aca="false">IF(AND(M$4&gt;=$F14,M$4&lt;$F14+$G14),1,"")</f>
        <v>1</v>
      </c>
      <c r="N14" s="13" t="str">
        <f aca="false">IF(AND(N$4&gt;=$F14,N$4&lt;$F14+$G14),1,"")</f>
        <v/>
      </c>
      <c r="O14" s="13" t="str">
        <f aca="false">IF(AND(O$4&gt;=$F14,O$4&lt;$F14+$G14),1,"")</f>
        <v/>
      </c>
      <c r="P14" s="13" t="str">
        <f aca="false">IF(AND(P$4&gt;=$F14,P$4&lt;$F14+$G14),1,"")</f>
        <v/>
      </c>
      <c r="Q14" s="13" t="str">
        <f aca="false">IF(AND(Q$4&gt;=$F14,Q$4&lt;$F14+$G14),1,"")</f>
        <v/>
      </c>
    </row>
    <row r="15" customFormat="false" ht="15" hidden="false" customHeight="true" outlineLevel="0" collapsed="false">
      <c r="A15" s="7" t="n">
        <v>11</v>
      </c>
      <c r="B15" s="8" t="s">
        <v>365</v>
      </c>
      <c r="C15" s="9" t="s">
        <v>366</v>
      </c>
      <c r="D15" s="9" t="s">
        <v>367</v>
      </c>
      <c r="E15" s="7" t="n">
        <v>19</v>
      </c>
      <c r="F15" s="10" t="n">
        <v>4</v>
      </c>
      <c r="G15" s="10" t="n">
        <v>1</v>
      </c>
      <c r="H15" s="7" t="n">
        <f aca="false">F15+G15-1</f>
        <v>4</v>
      </c>
      <c r="I15" s="11" t="s">
        <v>20</v>
      </c>
      <c r="J15" s="13" t="str">
        <f aca="false">IF(AND(J$4&gt;=$F15,J$4&lt;$F15+$G15),1,"")</f>
        <v/>
      </c>
      <c r="K15" s="13" t="str">
        <f aca="false">IF(AND(K$4&gt;=$F15,K$4&lt;$F15+$G15),1,"")</f>
        <v/>
      </c>
      <c r="L15" s="13" t="str">
        <f aca="false">IF(AND(L$4&gt;=$F15,L$4&lt;$F15+$G15),1,"")</f>
        <v/>
      </c>
      <c r="M15" s="13" t="n">
        <f aca="false">IF(AND(M$4&gt;=$F15,M$4&lt;$F15+$G15),1,"")</f>
        <v>1</v>
      </c>
      <c r="N15" s="13" t="str">
        <f aca="false">IF(AND(N$4&gt;=$F15,N$4&lt;$F15+$G15),1,"")</f>
        <v/>
      </c>
      <c r="O15" s="13" t="str">
        <f aca="false">IF(AND(O$4&gt;=$F15,O$4&lt;$F15+$G15),1,"")</f>
        <v/>
      </c>
      <c r="P15" s="13" t="str">
        <f aca="false">IF(AND(P$4&gt;=$F15,P$4&lt;$F15+$G15),1,"")</f>
        <v/>
      </c>
      <c r="Q15" s="13" t="str">
        <f aca="false">IF(AND(Q$4&gt;=$F15,Q$4&lt;$F15+$G15),1,"")</f>
        <v/>
      </c>
    </row>
    <row r="16" customFormat="false" ht="15" hidden="false" customHeight="true" outlineLevel="0" collapsed="false">
      <c r="A16" s="7" t="n">
        <v>12</v>
      </c>
      <c r="B16" s="8" t="s">
        <v>365</v>
      </c>
      <c r="C16" s="9" t="s">
        <v>368</v>
      </c>
      <c r="D16" s="9" t="s">
        <v>369</v>
      </c>
      <c r="E16" s="7" t="n">
        <v>19</v>
      </c>
      <c r="F16" s="10" t="n">
        <v>4</v>
      </c>
      <c r="G16" s="10" t="n">
        <v>1</v>
      </c>
      <c r="H16" s="7" t="n">
        <f aca="false">F16+G16-1</f>
        <v>4</v>
      </c>
      <c r="I16" s="11" t="s">
        <v>20</v>
      </c>
      <c r="J16" s="13" t="str">
        <f aca="false">IF(AND(J$4&gt;=$F16,J$4&lt;$F16+$G16),1,"")</f>
        <v/>
      </c>
      <c r="K16" s="13" t="str">
        <f aca="false">IF(AND(K$4&gt;=$F16,K$4&lt;$F16+$G16),1,"")</f>
        <v/>
      </c>
      <c r="L16" s="13" t="str">
        <f aca="false">IF(AND(L$4&gt;=$F16,L$4&lt;$F16+$G16),1,"")</f>
        <v/>
      </c>
      <c r="M16" s="13" t="n">
        <f aca="false">IF(AND(M$4&gt;=$F16,M$4&lt;$F16+$G16),1,"")</f>
        <v>1</v>
      </c>
      <c r="N16" s="13" t="str">
        <f aca="false">IF(AND(N$4&gt;=$F16,N$4&lt;$F16+$G16),1,"")</f>
        <v/>
      </c>
      <c r="O16" s="13" t="str">
        <f aca="false">IF(AND(O$4&gt;=$F16,O$4&lt;$F16+$G16),1,"")</f>
        <v/>
      </c>
      <c r="P16" s="13" t="str">
        <f aca="false">IF(AND(P$4&gt;=$F16,P$4&lt;$F16+$G16),1,"")</f>
        <v/>
      </c>
      <c r="Q16" s="13" t="str">
        <f aca="false">IF(AND(Q$4&gt;=$F16,Q$4&lt;$F16+$G16),1,"")</f>
        <v/>
      </c>
    </row>
    <row r="17" customFormat="false" ht="15" hidden="false" customHeight="true" outlineLevel="0" collapsed="false">
      <c r="A17" s="7" t="n">
        <v>13</v>
      </c>
      <c r="B17" s="8" t="s">
        <v>365</v>
      </c>
      <c r="C17" s="9" t="s">
        <v>370</v>
      </c>
      <c r="D17" s="9" t="s">
        <v>371</v>
      </c>
      <c r="E17" s="7" t="n">
        <v>19</v>
      </c>
      <c r="F17" s="10" t="n">
        <v>4</v>
      </c>
      <c r="G17" s="10" t="n">
        <v>1</v>
      </c>
      <c r="H17" s="7" t="n">
        <f aca="false">F17+G17-1</f>
        <v>4</v>
      </c>
      <c r="I17" s="11" t="s">
        <v>20</v>
      </c>
      <c r="J17" s="13" t="str">
        <f aca="false">IF(AND(J$4&gt;=$F17,J$4&lt;$F17+$G17),1,"")</f>
        <v/>
      </c>
      <c r="K17" s="13" t="str">
        <f aca="false">IF(AND(K$4&gt;=$F17,K$4&lt;$F17+$G17),1,"")</f>
        <v/>
      </c>
      <c r="L17" s="13" t="str">
        <f aca="false">IF(AND(L$4&gt;=$F17,L$4&lt;$F17+$G17),1,"")</f>
        <v/>
      </c>
      <c r="M17" s="13" t="n">
        <f aca="false">IF(AND(M$4&gt;=$F17,M$4&lt;$F17+$G17),1,"")</f>
        <v>1</v>
      </c>
      <c r="N17" s="13" t="str">
        <f aca="false">IF(AND(N$4&gt;=$F17,N$4&lt;$F17+$G17),1,"")</f>
        <v/>
      </c>
      <c r="O17" s="13" t="str">
        <f aca="false">IF(AND(O$4&gt;=$F17,O$4&lt;$F17+$G17),1,"")</f>
        <v/>
      </c>
      <c r="P17" s="13" t="str">
        <f aca="false">IF(AND(P$4&gt;=$F17,P$4&lt;$F17+$G17),1,"")</f>
        <v/>
      </c>
      <c r="Q17" s="13" t="str">
        <f aca="false">IF(AND(Q$4&gt;=$F17,Q$4&lt;$F17+$G17),1,"")</f>
        <v/>
      </c>
    </row>
    <row r="18" customFormat="false" ht="15" hidden="false" customHeight="true" outlineLevel="0" collapsed="false">
      <c r="A18" s="7" t="n">
        <v>14</v>
      </c>
      <c r="B18" s="8" t="s">
        <v>372</v>
      </c>
      <c r="C18" s="9" t="s">
        <v>373</v>
      </c>
      <c r="D18" s="9" t="s">
        <v>374</v>
      </c>
      <c r="E18" s="7" t="n">
        <v>20</v>
      </c>
      <c r="F18" s="10" t="n">
        <v>5</v>
      </c>
      <c r="G18" s="10" t="n">
        <v>1</v>
      </c>
      <c r="H18" s="7" t="n">
        <f aca="false">F18+G18-1</f>
        <v>5</v>
      </c>
      <c r="I18" s="11" t="s">
        <v>20</v>
      </c>
      <c r="J18" s="13" t="str">
        <f aca="false">IF(AND(J$4&gt;=$F18,J$4&lt;$F18+$G18),1,"")</f>
        <v/>
      </c>
      <c r="K18" s="13" t="str">
        <f aca="false">IF(AND(K$4&gt;=$F18,K$4&lt;$F18+$G18),1,"")</f>
        <v/>
      </c>
      <c r="L18" s="13" t="str">
        <f aca="false">IF(AND(L$4&gt;=$F18,L$4&lt;$F18+$G18),1,"")</f>
        <v/>
      </c>
      <c r="M18" s="13" t="str">
        <f aca="false">IF(AND(M$4&gt;=$F18,M$4&lt;$F18+$G18),1,"")</f>
        <v/>
      </c>
      <c r="N18" s="13" t="n">
        <f aca="false">IF(AND(N$4&gt;=$F18,N$4&lt;$F18+$G18),1,"")</f>
        <v>1</v>
      </c>
      <c r="O18" s="13" t="str">
        <f aca="false">IF(AND(O$4&gt;=$F18,O$4&lt;$F18+$G18),1,"")</f>
        <v/>
      </c>
      <c r="P18" s="13" t="str">
        <f aca="false">IF(AND(P$4&gt;=$F18,P$4&lt;$F18+$G18),1,"")</f>
        <v/>
      </c>
      <c r="Q18" s="13" t="str">
        <f aca="false">IF(AND(Q$4&gt;=$F18,Q$4&lt;$F18+$G18),1,"")</f>
        <v/>
      </c>
    </row>
    <row r="19" customFormat="false" ht="15" hidden="false" customHeight="true" outlineLevel="0" collapsed="false">
      <c r="A19" s="7" t="n">
        <v>15</v>
      </c>
      <c r="B19" s="8" t="s">
        <v>372</v>
      </c>
      <c r="C19" s="9" t="s">
        <v>375</v>
      </c>
      <c r="D19" s="9" t="s">
        <v>376</v>
      </c>
      <c r="E19" s="7" t="n">
        <v>20</v>
      </c>
      <c r="F19" s="10" t="n">
        <v>5</v>
      </c>
      <c r="G19" s="10" t="n">
        <v>1</v>
      </c>
      <c r="H19" s="7" t="n">
        <f aca="false">F19+G19-1</f>
        <v>5</v>
      </c>
      <c r="I19" s="11" t="s">
        <v>20</v>
      </c>
      <c r="J19" s="13" t="str">
        <f aca="false">IF(AND(J$4&gt;=$F19,J$4&lt;$F19+$G19),1,"")</f>
        <v/>
      </c>
      <c r="K19" s="13" t="str">
        <f aca="false">IF(AND(K$4&gt;=$F19,K$4&lt;$F19+$G19),1,"")</f>
        <v/>
      </c>
      <c r="L19" s="13" t="str">
        <f aca="false">IF(AND(L$4&gt;=$F19,L$4&lt;$F19+$G19),1,"")</f>
        <v/>
      </c>
      <c r="M19" s="13" t="str">
        <f aca="false">IF(AND(M$4&gt;=$F19,M$4&lt;$F19+$G19),1,"")</f>
        <v/>
      </c>
      <c r="N19" s="13" t="n">
        <f aca="false">IF(AND(N$4&gt;=$F19,N$4&lt;$F19+$G19),1,"")</f>
        <v>1</v>
      </c>
      <c r="O19" s="13" t="str">
        <f aca="false">IF(AND(O$4&gt;=$F19,O$4&lt;$F19+$G19),1,"")</f>
        <v/>
      </c>
      <c r="P19" s="13" t="str">
        <f aca="false">IF(AND(P$4&gt;=$F19,P$4&lt;$F19+$G19),1,"")</f>
        <v/>
      </c>
      <c r="Q19" s="13" t="str">
        <f aca="false">IF(AND(Q$4&gt;=$F19,Q$4&lt;$F19+$G19),1,"")</f>
        <v/>
      </c>
    </row>
    <row r="20" customFormat="false" ht="15" hidden="false" customHeight="true" outlineLevel="0" collapsed="false">
      <c r="A20" s="7" t="n">
        <v>16</v>
      </c>
      <c r="B20" s="8" t="s">
        <v>372</v>
      </c>
      <c r="C20" s="9" t="s">
        <v>377</v>
      </c>
      <c r="D20" s="9" t="s">
        <v>376</v>
      </c>
      <c r="E20" s="7" t="n">
        <v>20</v>
      </c>
      <c r="F20" s="10" t="n">
        <v>5</v>
      </c>
      <c r="G20" s="10" t="n">
        <v>1</v>
      </c>
      <c r="H20" s="7" t="n">
        <f aca="false">F20+G20-1</f>
        <v>5</v>
      </c>
      <c r="I20" s="11" t="s">
        <v>20</v>
      </c>
      <c r="J20" s="13" t="str">
        <f aca="false">IF(AND(J$4&gt;=$F20,J$4&lt;$F20+$G20),1,"")</f>
        <v/>
      </c>
      <c r="K20" s="13" t="str">
        <f aca="false">IF(AND(K$4&gt;=$F20,K$4&lt;$F20+$G20),1,"")</f>
        <v/>
      </c>
      <c r="L20" s="13" t="str">
        <f aca="false">IF(AND(L$4&gt;=$F20,L$4&lt;$F20+$G20),1,"")</f>
        <v/>
      </c>
      <c r="M20" s="13" t="str">
        <f aca="false">IF(AND(M$4&gt;=$F20,M$4&lt;$F20+$G20),1,"")</f>
        <v/>
      </c>
      <c r="N20" s="13" t="n">
        <f aca="false">IF(AND(N$4&gt;=$F20,N$4&lt;$F20+$G20),1,"")</f>
        <v>1</v>
      </c>
      <c r="O20" s="13" t="str">
        <f aca="false">IF(AND(O$4&gt;=$F20,O$4&lt;$F20+$G20),1,"")</f>
        <v/>
      </c>
      <c r="P20" s="13" t="str">
        <f aca="false">IF(AND(P$4&gt;=$F20,P$4&lt;$F20+$G20),1,"")</f>
        <v/>
      </c>
      <c r="Q20" s="13" t="str">
        <f aca="false">IF(AND(Q$4&gt;=$F20,Q$4&lt;$F20+$G20),1,"")</f>
        <v/>
      </c>
    </row>
    <row r="21" customFormat="false" ht="15" hidden="false" customHeight="true" outlineLevel="0" collapsed="false">
      <c r="A21" s="7" t="n">
        <v>17</v>
      </c>
      <c r="B21" s="8" t="s">
        <v>372</v>
      </c>
      <c r="C21" s="9" t="s">
        <v>378</v>
      </c>
      <c r="D21" s="9" t="s">
        <v>376</v>
      </c>
      <c r="E21" s="7" t="n">
        <v>13</v>
      </c>
      <c r="F21" s="10" t="n">
        <v>5</v>
      </c>
      <c r="G21" s="10" t="n">
        <v>1</v>
      </c>
      <c r="H21" s="7" t="n">
        <f aca="false">F21+G21-1</f>
        <v>5</v>
      </c>
      <c r="I21" s="11" t="s">
        <v>20</v>
      </c>
      <c r="J21" s="13" t="str">
        <f aca="false">IF(AND(J$4&gt;=$F21,J$4&lt;$F21+$G21),1,"")</f>
        <v/>
      </c>
      <c r="K21" s="13" t="str">
        <f aca="false">IF(AND(K$4&gt;=$F21,K$4&lt;$F21+$G21),1,"")</f>
        <v/>
      </c>
      <c r="L21" s="13" t="str">
        <f aca="false">IF(AND(L$4&gt;=$F21,L$4&lt;$F21+$G21),1,"")</f>
        <v/>
      </c>
      <c r="M21" s="13" t="str">
        <f aca="false">IF(AND(M$4&gt;=$F21,M$4&lt;$F21+$G21),1,"")</f>
        <v/>
      </c>
      <c r="N21" s="13" t="n">
        <f aca="false">IF(AND(N$4&gt;=$F21,N$4&lt;$F21+$G21),1,"")</f>
        <v>1</v>
      </c>
      <c r="O21" s="13" t="str">
        <f aca="false">IF(AND(O$4&gt;=$F21,O$4&lt;$F21+$G21),1,"")</f>
        <v/>
      </c>
      <c r="P21" s="13" t="str">
        <f aca="false">IF(AND(P$4&gt;=$F21,P$4&lt;$F21+$G21),1,"")</f>
        <v/>
      </c>
      <c r="Q21" s="13" t="str">
        <f aca="false">IF(AND(Q$4&gt;=$F21,Q$4&lt;$F21+$G21),1,"")</f>
        <v/>
      </c>
    </row>
    <row r="22" customFormat="false" ht="15" hidden="false" customHeight="true" outlineLevel="0" collapsed="false">
      <c r="A22" s="7" t="n">
        <v>18</v>
      </c>
      <c r="B22" s="8" t="s">
        <v>372</v>
      </c>
      <c r="C22" s="9" t="s">
        <v>379</v>
      </c>
      <c r="D22" s="9" t="s">
        <v>376</v>
      </c>
      <c r="E22" s="7" t="n">
        <v>20</v>
      </c>
      <c r="F22" s="10" t="n">
        <v>6</v>
      </c>
      <c r="G22" s="10" t="n">
        <v>1</v>
      </c>
      <c r="H22" s="7" t="n">
        <f aca="false">F22+G22-1</f>
        <v>6</v>
      </c>
      <c r="I22" s="7" t="s">
        <v>28</v>
      </c>
      <c r="J22" s="13" t="str">
        <f aca="false">IF(AND(J$4&gt;=$F22,J$4&lt;$F22+$G22),1,"")</f>
        <v/>
      </c>
      <c r="K22" s="13" t="str">
        <f aca="false">IF(AND(K$4&gt;=$F22,K$4&lt;$F22+$G22),1,"")</f>
        <v/>
      </c>
      <c r="L22" s="13" t="str">
        <f aca="false">IF(AND(L$4&gt;=$F22,L$4&lt;$F22+$G22),1,"")</f>
        <v/>
      </c>
      <c r="M22" s="13" t="str">
        <f aca="false">IF(AND(M$4&gt;=$F22,M$4&lt;$F22+$G22),1,"")</f>
        <v/>
      </c>
      <c r="N22" s="13" t="str">
        <f aca="false">IF(AND(N$4&gt;=$F22,N$4&lt;$F22+$G22),1,"")</f>
        <v/>
      </c>
      <c r="O22" s="13" t="n">
        <f aca="false">IF(AND(O$4&gt;=$F22,O$4&lt;$F22+$G22),1,"")</f>
        <v>1</v>
      </c>
      <c r="P22" s="13" t="str">
        <f aca="false">IF(AND(P$4&gt;=$F22,P$4&lt;$F22+$G22),1,"")</f>
        <v/>
      </c>
      <c r="Q22" s="13" t="str">
        <f aca="false">IF(AND(Q$4&gt;=$F22,Q$4&lt;$F22+$G22),1,"")</f>
        <v/>
      </c>
    </row>
    <row r="23" customFormat="false" ht="15" hidden="false" customHeight="true" outlineLevel="0" collapsed="false">
      <c r="A23" s="7" t="n">
        <v>19</v>
      </c>
      <c r="B23" s="8" t="s">
        <v>380</v>
      </c>
      <c r="C23" s="9" t="s">
        <v>381</v>
      </c>
      <c r="D23" s="9" t="s">
        <v>367</v>
      </c>
      <c r="E23" s="7" t="n">
        <v>21</v>
      </c>
      <c r="F23" s="10" t="n">
        <v>5</v>
      </c>
      <c r="G23" s="10" t="n">
        <v>1</v>
      </c>
      <c r="H23" s="7" t="n">
        <f aca="false">F23+G23-1</f>
        <v>5</v>
      </c>
      <c r="I23" s="11" t="s">
        <v>20</v>
      </c>
      <c r="J23" s="13" t="str">
        <f aca="false">IF(AND(J$4&gt;=$F23,J$4&lt;$F23+$G23),1,"")</f>
        <v/>
      </c>
      <c r="K23" s="13" t="str">
        <f aca="false">IF(AND(K$4&gt;=$F23,K$4&lt;$F23+$G23),1,"")</f>
        <v/>
      </c>
      <c r="L23" s="13" t="str">
        <f aca="false">IF(AND(L$4&gt;=$F23,L$4&lt;$F23+$G23),1,"")</f>
        <v/>
      </c>
      <c r="M23" s="13" t="str">
        <f aca="false">IF(AND(M$4&gt;=$F23,M$4&lt;$F23+$G23),1,"")</f>
        <v/>
      </c>
      <c r="N23" s="13" t="n">
        <f aca="false">IF(AND(N$4&gt;=$F23,N$4&lt;$F23+$G23),1,"")</f>
        <v>1</v>
      </c>
      <c r="O23" s="13" t="str">
        <f aca="false">IF(AND(O$4&gt;=$F23,O$4&lt;$F23+$G23),1,"")</f>
        <v/>
      </c>
      <c r="P23" s="13" t="str">
        <f aca="false">IF(AND(P$4&gt;=$F23,P$4&lt;$F23+$G23),1,"")</f>
        <v/>
      </c>
      <c r="Q23" s="13" t="str">
        <f aca="false">IF(AND(Q$4&gt;=$F23,Q$4&lt;$F23+$G23),1,"")</f>
        <v/>
      </c>
    </row>
    <row r="24" customFormat="false" ht="15" hidden="false" customHeight="true" outlineLevel="0" collapsed="false">
      <c r="A24" s="7" t="n">
        <v>20</v>
      </c>
      <c r="B24" s="8" t="s">
        <v>380</v>
      </c>
      <c r="C24" s="9" t="s">
        <v>382</v>
      </c>
      <c r="D24" s="9" t="s">
        <v>376</v>
      </c>
      <c r="E24" s="7" t="n">
        <v>21</v>
      </c>
      <c r="F24" s="10" t="n">
        <v>5</v>
      </c>
      <c r="G24" s="10" t="n">
        <v>1</v>
      </c>
      <c r="H24" s="7" t="n">
        <f aca="false">F24+G24-1</f>
        <v>5</v>
      </c>
      <c r="I24" s="7" t="s">
        <v>28</v>
      </c>
      <c r="J24" s="13" t="str">
        <f aca="false">IF(AND(J$4&gt;=$F24,J$4&lt;$F24+$G24),1,"")</f>
        <v/>
      </c>
      <c r="K24" s="13" t="str">
        <f aca="false">IF(AND(K$4&gt;=$F24,K$4&lt;$F24+$G24),1,"")</f>
        <v/>
      </c>
      <c r="L24" s="13" t="str">
        <f aca="false">IF(AND(L$4&gt;=$F24,L$4&lt;$F24+$G24),1,"")</f>
        <v/>
      </c>
      <c r="M24" s="13" t="str">
        <f aca="false">IF(AND(M$4&gt;=$F24,M$4&lt;$F24+$G24),1,"")</f>
        <v/>
      </c>
      <c r="N24" s="13" t="n">
        <f aca="false">IF(AND(N$4&gt;=$F24,N$4&lt;$F24+$G24),1,"")</f>
        <v>1</v>
      </c>
      <c r="O24" s="13" t="str">
        <f aca="false">IF(AND(O$4&gt;=$F24,O$4&lt;$F24+$G24),1,"")</f>
        <v/>
      </c>
      <c r="P24" s="13" t="str">
        <f aca="false">IF(AND(P$4&gt;=$F24,P$4&lt;$F24+$G24),1,"")</f>
        <v/>
      </c>
      <c r="Q24" s="13" t="str">
        <f aca="false">IF(AND(Q$4&gt;=$F24,Q$4&lt;$F24+$G24),1,"")</f>
        <v/>
      </c>
    </row>
    <row r="25" customFormat="false" ht="15" hidden="false" customHeight="true" outlineLevel="0" collapsed="false">
      <c r="A25" s="7" t="n">
        <v>21</v>
      </c>
      <c r="B25" s="8" t="s">
        <v>383</v>
      </c>
      <c r="C25" s="9" t="s">
        <v>384</v>
      </c>
      <c r="D25" s="9" t="s">
        <v>385</v>
      </c>
      <c r="E25" s="7" t="n">
        <v>25</v>
      </c>
      <c r="F25" s="10" t="n">
        <v>6</v>
      </c>
      <c r="G25" s="10" t="n">
        <v>1</v>
      </c>
      <c r="H25" s="7" t="n">
        <f aca="false">F25+G25-1</f>
        <v>6</v>
      </c>
      <c r="I25" s="11" t="s">
        <v>20</v>
      </c>
      <c r="J25" s="13" t="str">
        <f aca="false">IF(AND(J$4&gt;=$F25,J$4&lt;$F25+$G25),1,"")</f>
        <v/>
      </c>
      <c r="K25" s="13" t="str">
        <f aca="false">IF(AND(K$4&gt;=$F25,K$4&lt;$F25+$G25),1,"")</f>
        <v/>
      </c>
      <c r="L25" s="13" t="str">
        <f aca="false">IF(AND(L$4&gt;=$F25,L$4&lt;$F25+$G25),1,"")</f>
        <v/>
      </c>
      <c r="M25" s="13" t="str">
        <f aca="false">IF(AND(M$4&gt;=$F25,M$4&lt;$F25+$G25),1,"")</f>
        <v/>
      </c>
      <c r="N25" s="13" t="str">
        <f aca="false">IF(AND(N$4&gt;=$F25,N$4&lt;$F25+$G25),1,"")</f>
        <v/>
      </c>
      <c r="O25" s="13" t="n">
        <f aca="false">IF(AND(O$4&gt;=$F25,O$4&lt;$F25+$G25),1,"")</f>
        <v>1</v>
      </c>
      <c r="P25" s="13" t="str">
        <f aca="false">IF(AND(P$4&gt;=$F25,P$4&lt;$F25+$G25),1,"")</f>
        <v/>
      </c>
      <c r="Q25" s="13" t="str">
        <f aca="false">IF(AND(Q$4&gt;=$F25,Q$4&lt;$F25+$G25),1,"")</f>
        <v/>
      </c>
    </row>
    <row r="26" customFormat="false" ht="15" hidden="false" customHeight="true" outlineLevel="0" collapsed="false">
      <c r="A26" s="7" t="n">
        <v>22</v>
      </c>
      <c r="B26" s="8" t="s">
        <v>383</v>
      </c>
      <c r="C26" s="9" t="s">
        <v>386</v>
      </c>
      <c r="D26" s="9" t="s">
        <v>387</v>
      </c>
      <c r="E26" s="7" t="n">
        <v>18</v>
      </c>
      <c r="F26" s="10" t="n">
        <v>5</v>
      </c>
      <c r="G26" s="10" t="n">
        <v>1</v>
      </c>
      <c r="H26" s="7" t="n">
        <f aca="false">F26+G26-1</f>
        <v>5</v>
      </c>
      <c r="I26" s="11" t="s">
        <v>20</v>
      </c>
      <c r="J26" s="13" t="str">
        <f aca="false">IF(AND(J$4&gt;=$F26,J$4&lt;$F26+$G26),1,"")</f>
        <v/>
      </c>
      <c r="K26" s="13" t="str">
        <f aca="false">IF(AND(K$4&gt;=$F26,K$4&lt;$F26+$G26),1,"")</f>
        <v/>
      </c>
      <c r="L26" s="13" t="str">
        <f aca="false">IF(AND(L$4&gt;=$F26,L$4&lt;$F26+$G26),1,"")</f>
        <v/>
      </c>
      <c r="M26" s="13" t="str">
        <f aca="false">IF(AND(M$4&gt;=$F26,M$4&lt;$F26+$G26),1,"")</f>
        <v/>
      </c>
      <c r="N26" s="13" t="n">
        <f aca="false">IF(AND(N$4&gt;=$F26,N$4&lt;$F26+$G26),1,"")</f>
        <v>1</v>
      </c>
      <c r="O26" s="13" t="str">
        <f aca="false">IF(AND(O$4&gt;=$F26,O$4&lt;$F26+$G26),1,"")</f>
        <v/>
      </c>
      <c r="P26" s="13" t="str">
        <f aca="false">IF(AND(P$4&gt;=$F26,P$4&lt;$F26+$G26),1,"")</f>
        <v/>
      </c>
      <c r="Q26" s="13" t="str">
        <f aca="false">IF(AND(Q$4&gt;=$F26,Q$4&lt;$F26+$G26),1,"")</f>
        <v/>
      </c>
    </row>
    <row r="27" customFormat="false" ht="15" hidden="false" customHeight="true" outlineLevel="0" collapsed="false">
      <c r="A27" s="7" t="n">
        <v>23</v>
      </c>
      <c r="B27" s="8" t="s">
        <v>388</v>
      </c>
      <c r="C27" s="9" t="s">
        <v>389</v>
      </c>
      <c r="D27" s="9" t="s">
        <v>390</v>
      </c>
      <c r="E27" s="7" t="n">
        <v>22</v>
      </c>
      <c r="F27" s="10" t="n">
        <v>6</v>
      </c>
      <c r="G27" s="10" t="n">
        <v>1</v>
      </c>
      <c r="H27" s="7" t="n">
        <f aca="false">F27+G27-1</f>
        <v>6</v>
      </c>
      <c r="I27" s="11" t="s">
        <v>20</v>
      </c>
      <c r="J27" s="13" t="str">
        <f aca="false">IF(AND(J$4&gt;=$F27,J$4&lt;$F27+$G27),1,"")</f>
        <v/>
      </c>
      <c r="K27" s="13" t="str">
        <f aca="false">IF(AND(K$4&gt;=$F27,K$4&lt;$F27+$G27),1,"")</f>
        <v/>
      </c>
      <c r="L27" s="13" t="str">
        <f aca="false">IF(AND(L$4&gt;=$F27,L$4&lt;$F27+$G27),1,"")</f>
        <v/>
      </c>
      <c r="M27" s="13" t="str">
        <f aca="false">IF(AND(M$4&gt;=$F27,M$4&lt;$F27+$G27),1,"")</f>
        <v/>
      </c>
      <c r="N27" s="13" t="str">
        <f aca="false">IF(AND(N$4&gt;=$F27,N$4&lt;$F27+$G27),1,"")</f>
        <v/>
      </c>
      <c r="O27" s="13" t="n">
        <f aca="false">IF(AND(O$4&gt;=$F27,O$4&lt;$F27+$G27),1,"")</f>
        <v>1</v>
      </c>
      <c r="P27" s="13" t="str">
        <f aca="false">IF(AND(P$4&gt;=$F27,P$4&lt;$F27+$G27),1,"")</f>
        <v/>
      </c>
      <c r="Q27" s="13" t="str">
        <f aca="false">IF(AND(Q$4&gt;=$F27,Q$4&lt;$F27+$G27),1,"")</f>
        <v/>
      </c>
    </row>
    <row r="28" customFormat="false" ht="15" hidden="false" customHeight="true" outlineLevel="0" collapsed="false">
      <c r="A28" s="7" t="n">
        <v>24</v>
      </c>
      <c r="B28" s="8" t="s">
        <v>388</v>
      </c>
      <c r="C28" s="9" t="s">
        <v>391</v>
      </c>
      <c r="D28" s="9" t="s">
        <v>392</v>
      </c>
      <c r="E28" s="7" t="n">
        <v>22</v>
      </c>
      <c r="F28" s="10" t="n">
        <v>6</v>
      </c>
      <c r="G28" s="10" t="n">
        <v>1</v>
      </c>
      <c r="H28" s="7" t="n">
        <f aca="false">F28+G28-1</f>
        <v>6</v>
      </c>
      <c r="I28" s="11" t="s">
        <v>20</v>
      </c>
      <c r="J28" s="13" t="str">
        <f aca="false">IF(AND(J$4&gt;=$F28,J$4&lt;$F28+$G28),1,"")</f>
        <v/>
      </c>
      <c r="K28" s="13" t="str">
        <f aca="false">IF(AND(K$4&gt;=$F28,K$4&lt;$F28+$G28),1,"")</f>
        <v/>
      </c>
      <c r="L28" s="13" t="str">
        <f aca="false">IF(AND(L$4&gt;=$F28,L$4&lt;$F28+$G28),1,"")</f>
        <v/>
      </c>
      <c r="M28" s="13" t="str">
        <f aca="false">IF(AND(M$4&gt;=$F28,M$4&lt;$F28+$G28),1,"")</f>
        <v/>
      </c>
      <c r="N28" s="13" t="str">
        <f aca="false">IF(AND(N$4&gt;=$F28,N$4&lt;$F28+$G28),1,"")</f>
        <v/>
      </c>
      <c r="O28" s="13" t="n">
        <f aca="false">IF(AND(O$4&gt;=$F28,O$4&lt;$F28+$G28),1,"")</f>
        <v>1</v>
      </c>
      <c r="P28" s="13" t="str">
        <f aca="false">IF(AND(P$4&gt;=$F28,P$4&lt;$F28+$G28),1,"")</f>
        <v/>
      </c>
      <c r="Q28" s="13" t="str">
        <f aca="false">IF(AND(Q$4&gt;=$F28,Q$4&lt;$F28+$G28),1,"")</f>
        <v/>
      </c>
    </row>
    <row r="29" customFormat="false" ht="15" hidden="false" customHeight="true" outlineLevel="0" collapsed="false">
      <c r="A29" s="7" t="n">
        <v>25</v>
      </c>
      <c r="B29" s="8" t="s">
        <v>388</v>
      </c>
      <c r="C29" s="9" t="s">
        <v>393</v>
      </c>
      <c r="D29" s="9" t="s">
        <v>394</v>
      </c>
      <c r="E29" s="7" t="n">
        <v>23</v>
      </c>
      <c r="F29" s="10" t="n">
        <v>6</v>
      </c>
      <c r="G29" s="10" t="n">
        <v>1</v>
      </c>
      <c r="H29" s="7" t="n">
        <f aca="false">F29+G29-1</f>
        <v>6</v>
      </c>
      <c r="I29" s="11" t="s">
        <v>20</v>
      </c>
      <c r="J29" s="13" t="str">
        <f aca="false">IF(AND(J$4&gt;=$F29,J$4&lt;$F29+$G29),1,"")</f>
        <v/>
      </c>
      <c r="K29" s="13" t="str">
        <f aca="false">IF(AND(K$4&gt;=$F29,K$4&lt;$F29+$G29),1,"")</f>
        <v/>
      </c>
      <c r="L29" s="13" t="str">
        <f aca="false">IF(AND(L$4&gt;=$F29,L$4&lt;$F29+$G29),1,"")</f>
        <v/>
      </c>
      <c r="M29" s="13" t="str">
        <f aca="false">IF(AND(M$4&gt;=$F29,M$4&lt;$F29+$G29),1,"")</f>
        <v/>
      </c>
      <c r="N29" s="13" t="str">
        <f aca="false">IF(AND(N$4&gt;=$F29,N$4&lt;$F29+$G29),1,"")</f>
        <v/>
      </c>
      <c r="O29" s="13" t="n">
        <f aca="false">IF(AND(O$4&gt;=$F29,O$4&lt;$F29+$G29),1,"")</f>
        <v>1</v>
      </c>
      <c r="P29" s="13" t="str">
        <f aca="false">IF(AND(P$4&gt;=$F29,P$4&lt;$F29+$G29),1,"")</f>
        <v/>
      </c>
      <c r="Q29" s="13" t="str">
        <f aca="false">IF(AND(Q$4&gt;=$F29,Q$4&lt;$F29+$G29),1,"")</f>
        <v/>
      </c>
    </row>
    <row r="30" customFormat="false" ht="15" hidden="false" customHeight="true" outlineLevel="0" collapsed="false">
      <c r="A30" s="7" t="n">
        <v>26</v>
      </c>
      <c r="B30" s="8" t="s">
        <v>388</v>
      </c>
      <c r="C30" s="9" t="s">
        <v>395</v>
      </c>
      <c r="D30" s="9" t="s">
        <v>396</v>
      </c>
      <c r="E30" s="7" t="n">
        <v>34</v>
      </c>
      <c r="F30" s="10" t="n">
        <v>7</v>
      </c>
      <c r="G30" s="10" t="n">
        <v>1</v>
      </c>
      <c r="H30" s="7" t="n">
        <f aca="false">F30+G30-1</f>
        <v>7</v>
      </c>
      <c r="I30" s="7" t="s">
        <v>28</v>
      </c>
      <c r="J30" s="13" t="str">
        <f aca="false">IF(AND(J$4&gt;=$F30,J$4&lt;$F30+$G30),1,"")</f>
        <v/>
      </c>
      <c r="K30" s="13" t="str">
        <f aca="false">IF(AND(K$4&gt;=$F30,K$4&lt;$F30+$G30),1,"")</f>
        <v/>
      </c>
      <c r="L30" s="13" t="str">
        <f aca="false">IF(AND(L$4&gt;=$F30,L$4&lt;$F30+$G30),1,"")</f>
        <v/>
      </c>
      <c r="M30" s="13" t="str">
        <f aca="false">IF(AND(M$4&gt;=$F30,M$4&lt;$F30+$G30),1,"")</f>
        <v/>
      </c>
      <c r="N30" s="13" t="str">
        <f aca="false">IF(AND(N$4&gt;=$F30,N$4&lt;$F30+$G30),1,"")</f>
        <v/>
      </c>
      <c r="O30" s="13" t="str">
        <f aca="false">IF(AND(O$4&gt;=$F30,O$4&lt;$F30+$G30),1,"")</f>
        <v/>
      </c>
      <c r="P30" s="13" t="n">
        <f aca="false">IF(AND(P$4&gt;=$F30,P$4&lt;$F30+$G30),1,"")</f>
        <v>1</v>
      </c>
      <c r="Q30" s="13" t="str">
        <f aca="false">IF(AND(Q$4&gt;=$F30,Q$4&lt;$F30+$G30),1,"")</f>
        <v/>
      </c>
    </row>
    <row r="31" customFormat="false" ht="15" hidden="false" customHeight="true" outlineLevel="0" collapsed="false">
      <c r="A31" s="7" t="n">
        <v>27</v>
      </c>
      <c r="B31" s="8" t="s">
        <v>388</v>
      </c>
      <c r="C31" s="9" t="s">
        <v>397</v>
      </c>
      <c r="D31" s="9" t="s">
        <v>398</v>
      </c>
      <c r="E31" s="7" t="n">
        <v>28</v>
      </c>
      <c r="F31" s="10" t="n">
        <v>7</v>
      </c>
      <c r="G31" s="10" t="n">
        <v>1</v>
      </c>
      <c r="H31" s="7" t="n">
        <f aca="false">F31+G31-1</f>
        <v>7</v>
      </c>
      <c r="I31" s="11" t="s">
        <v>20</v>
      </c>
      <c r="J31" s="13" t="str">
        <f aca="false">IF(AND(J$4&gt;=$F31,J$4&lt;$F31+$G31),1,"")</f>
        <v/>
      </c>
      <c r="K31" s="13" t="str">
        <f aca="false">IF(AND(K$4&gt;=$F31,K$4&lt;$F31+$G31),1,"")</f>
        <v/>
      </c>
      <c r="L31" s="13" t="str">
        <f aca="false">IF(AND(L$4&gt;=$F31,L$4&lt;$F31+$G31),1,"")</f>
        <v/>
      </c>
      <c r="M31" s="13" t="str">
        <f aca="false">IF(AND(M$4&gt;=$F31,M$4&lt;$F31+$G31),1,"")</f>
        <v/>
      </c>
      <c r="N31" s="13" t="str">
        <f aca="false">IF(AND(N$4&gt;=$F31,N$4&lt;$F31+$G31),1,"")</f>
        <v/>
      </c>
      <c r="O31" s="13" t="str">
        <f aca="false">IF(AND(O$4&gt;=$F31,O$4&lt;$F31+$G31),1,"")</f>
        <v/>
      </c>
      <c r="P31" s="13" t="n">
        <f aca="false">IF(AND(P$4&gt;=$F31,P$4&lt;$F31+$G31),1,"")</f>
        <v>1</v>
      </c>
      <c r="Q31" s="13" t="str">
        <f aca="false">IF(AND(Q$4&gt;=$F31,Q$4&lt;$F31+$G31),1,"")</f>
        <v/>
      </c>
    </row>
    <row r="33" customFormat="false" ht="15" hidden="false" customHeight="true" outlineLevel="0" collapsed="false">
      <c r="A33" s="3" t="s">
        <v>295</v>
      </c>
    </row>
    <row r="34" customFormat="false" ht="15" hidden="false" customHeight="true" outlineLevel="0" collapsed="false">
      <c r="A34" s="3" t="s">
        <v>296</v>
      </c>
    </row>
  </sheetData>
  <conditionalFormatting sqref="J5:Q31">
    <cfRule type="expression" priority="2" aboveAverage="0" equalAverage="0" bottom="0" percent="0" rank="0" text="" dxfId="1">
      <formula>AND(J5=1,$I5="Si")</formula>
    </cfRule>
    <cfRule type="expression" priority="3" aboveAverage="0" equalAverage="0" bottom="0" percent="0" rank="0" text="" dxfId="2">
      <formula>AND(J5=1,$I5="No")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3"/>
  </cols>
  <sheetData>
    <row r="1" customFormat="false" ht="15" hidden="false" customHeight="true" outlineLevel="0" collapsed="false">
      <c r="A1" s="24" t="s">
        <v>4</v>
      </c>
      <c r="B1" s="24" t="s">
        <v>243</v>
      </c>
      <c r="C1" s="24" t="s">
        <v>399</v>
      </c>
      <c r="D1" s="24" t="s">
        <v>400</v>
      </c>
      <c r="E1" s="24" t="s">
        <v>229</v>
      </c>
    </row>
    <row r="2" customFormat="false" ht="15" hidden="false" customHeight="true" outlineLevel="0" collapsed="false">
      <c r="A2" s="25" t="n">
        <v>1</v>
      </c>
      <c r="B2" s="25" t="s">
        <v>17</v>
      </c>
      <c r="C2" s="26" t="n">
        <v>0.03</v>
      </c>
      <c r="D2" s="26" t="n">
        <v>0.05</v>
      </c>
      <c r="E2" s="26" t="n">
        <v>0</v>
      </c>
    </row>
    <row r="3" customFormat="false" ht="15" hidden="false" customHeight="true" outlineLevel="0" collapsed="false">
      <c r="A3" s="25" t="n">
        <v>2</v>
      </c>
      <c r="B3" s="25" t="s">
        <v>21</v>
      </c>
      <c r="C3" s="26" t="n">
        <v>0</v>
      </c>
      <c r="D3" s="26" t="n">
        <v>0.02</v>
      </c>
      <c r="E3" s="26" t="n">
        <v>0</v>
      </c>
    </row>
    <row r="4" customFormat="false" ht="15" hidden="false" customHeight="true" outlineLevel="0" collapsed="false">
      <c r="A4" s="25" t="n">
        <v>3</v>
      </c>
      <c r="B4" s="25" t="s">
        <v>23</v>
      </c>
      <c r="C4" s="26" t="n">
        <v>0.04</v>
      </c>
      <c r="D4" s="26" t="n">
        <v>0.03</v>
      </c>
      <c r="E4" s="26" t="n">
        <v>0</v>
      </c>
    </row>
    <row r="5" customFormat="false" ht="15" hidden="false" customHeight="true" outlineLevel="0" collapsed="false">
      <c r="A5" s="25" t="n">
        <v>4</v>
      </c>
      <c r="B5" s="25" t="s">
        <v>26</v>
      </c>
      <c r="C5" s="26" t="n">
        <v>0</v>
      </c>
      <c r="D5" s="26" t="n">
        <v>0</v>
      </c>
      <c r="E5" s="26" t="n">
        <v>0</v>
      </c>
    </row>
    <row r="6" customFormat="false" ht="15" hidden="false" customHeight="true" outlineLevel="0" collapsed="false">
      <c r="A6" s="25" t="n">
        <v>5</v>
      </c>
      <c r="B6" s="25" t="s">
        <v>29</v>
      </c>
      <c r="C6" s="26" t="n">
        <v>0</v>
      </c>
      <c r="D6" s="26" t="n">
        <v>0.03</v>
      </c>
      <c r="E6" s="26" t="n">
        <v>0.04</v>
      </c>
    </row>
    <row r="7" customFormat="false" ht="15" hidden="false" customHeight="true" outlineLevel="0" collapsed="false">
      <c r="A7" s="25" t="n">
        <v>6</v>
      </c>
      <c r="B7" s="25" t="s">
        <v>32</v>
      </c>
      <c r="C7" s="26" t="n">
        <v>0</v>
      </c>
      <c r="D7" s="26" t="n">
        <v>0.05</v>
      </c>
      <c r="E7" s="26" t="n">
        <v>0.06</v>
      </c>
    </row>
    <row r="8" customFormat="false" ht="15" hidden="false" customHeight="true" outlineLevel="0" collapsed="false">
      <c r="A8" s="25" t="n">
        <v>7</v>
      </c>
      <c r="B8" s="25" t="s">
        <v>34</v>
      </c>
      <c r="C8" s="26" t="n">
        <v>0</v>
      </c>
      <c r="D8" s="26" t="n">
        <v>0.04</v>
      </c>
      <c r="E8" s="26" t="n">
        <v>0</v>
      </c>
    </row>
    <row r="9" customFormat="false" ht="15" hidden="false" customHeight="true" outlineLevel="0" collapsed="false">
      <c r="A9" s="25" t="n">
        <v>8</v>
      </c>
      <c r="B9" s="25" t="s">
        <v>37</v>
      </c>
      <c r="C9" s="26" t="n">
        <v>0.08</v>
      </c>
      <c r="D9" s="26" t="n">
        <v>0</v>
      </c>
      <c r="E9" s="26" t="n">
        <v>0.04</v>
      </c>
    </row>
    <row r="10" customFormat="false" ht="15" hidden="false" customHeight="true" outlineLevel="0" collapsed="false">
      <c r="A10" s="25" t="n">
        <v>9</v>
      </c>
      <c r="B10" s="25" t="s">
        <v>41</v>
      </c>
      <c r="C10" s="26" t="n">
        <v>0</v>
      </c>
      <c r="D10" s="26" t="n">
        <v>0.06</v>
      </c>
      <c r="E10" s="26" t="n">
        <v>0</v>
      </c>
    </row>
    <row r="11" customFormat="false" ht="15" hidden="false" customHeight="true" outlineLevel="0" collapsed="false">
      <c r="A11" s="25" t="n">
        <v>10</v>
      </c>
      <c r="B11" s="25" t="s">
        <v>43</v>
      </c>
      <c r="C11" s="26" t="n">
        <v>0</v>
      </c>
      <c r="D11" s="26" t="n">
        <v>0.06</v>
      </c>
      <c r="E11" s="26" t="n">
        <v>0</v>
      </c>
    </row>
    <row r="12" customFormat="false" ht="15" hidden="false" customHeight="true" outlineLevel="0" collapsed="false">
      <c r="A12" s="25" t="n">
        <v>11</v>
      </c>
      <c r="B12" s="25" t="s">
        <v>46</v>
      </c>
      <c r="C12" s="26" t="n">
        <v>0.1</v>
      </c>
      <c r="D12" s="26" t="n">
        <v>0.1</v>
      </c>
      <c r="E12" s="26" t="n">
        <v>0</v>
      </c>
    </row>
    <row r="13" customFormat="false" ht="15" hidden="false" customHeight="true" outlineLevel="0" collapsed="false">
      <c r="A13" s="25" t="n">
        <v>12</v>
      </c>
      <c r="B13" s="25" t="s">
        <v>50</v>
      </c>
      <c r="C13" s="26" t="n">
        <v>0.06</v>
      </c>
      <c r="D13" s="26" t="n">
        <v>0.04</v>
      </c>
      <c r="E13" s="26" t="n">
        <v>0</v>
      </c>
    </row>
    <row r="14" customFormat="false" ht="15" hidden="false" customHeight="true" outlineLevel="0" collapsed="false">
      <c r="A14" s="25" t="n">
        <v>13</v>
      </c>
      <c r="B14" s="25" t="s">
        <v>53</v>
      </c>
      <c r="C14" s="26" t="n">
        <v>0</v>
      </c>
      <c r="D14" s="26" t="n">
        <v>0.05</v>
      </c>
      <c r="E14" s="26" t="n">
        <v>0</v>
      </c>
    </row>
    <row r="15" customFormat="false" ht="15" hidden="false" customHeight="true" outlineLevel="0" collapsed="false">
      <c r="A15" s="25" t="n">
        <v>14</v>
      </c>
      <c r="B15" s="25" t="s">
        <v>56</v>
      </c>
      <c r="C15" s="26" t="n">
        <v>0.1</v>
      </c>
      <c r="D15" s="26" t="n">
        <v>0.1</v>
      </c>
      <c r="E15" s="26" t="n">
        <v>0.06</v>
      </c>
    </row>
    <row r="16" customFormat="false" ht="15" hidden="false" customHeight="true" outlineLevel="0" collapsed="false">
      <c r="A16" s="25" t="n">
        <v>15</v>
      </c>
      <c r="B16" s="25" t="s">
        <v>60</v>
      </c>
      <c r="C16" s="26" t="n">
        <v>0</v>
      </c>
      <c r="D16" s="26" t="n">
        <v>0</v>
      </c>
      <c r="E16" s="26" t="n">
        <v>0.08</v>
      </c>
    </row>
    <row r="17" customFormat="false" ht="15" hidden="false" customHeight="true" outlineLevel="0" collapsed="false">
      <c r="A17" s="25" t="n">
        <v>16</v>
      </c>
      <c r="B17" s="25" t="s">
        <v>63</v>
      </c>
      <c r="C17" s="26" t="n">
        <v>0</v>
      </c>
      <c r="D17" s="26" t="n">
        <v>0</v>
      </c>
      <c r="E17" s="26" t="n">
        <v>0.2</v>
      </c>
    </row>
    <row r="18" customFormat="false" ht="15" hidden="false" customHeight="true" outlineLevel="0" collapsed="false">
      <c r="A18" s="25" t="n">
        <v>17</v>
      </c>
      <c r="B18" s="25" t="s">
        <v>66</v>
      </c>
      <c r="C18" s="26" t="n">
        <v>0</v>
      </c>
      <c r="D18" s="26" t="n">
        <v>0.06</v>
      </c>
      <c r="E18" s="26" t="n">
        <v>0.06</v>
      </c>
    </row>
    <row r="19" customFormat="false" ht="15" hidden="false" customHeight="true" outlineLevel="0" collapsed="false">
      <c r="A19" s="25" t="n">
        <v>18</v>
      </c>
      <c r="B19" s="25" t="s">
        <v>69</v>
      </c>
      <c r="C19" s="26" t="n">
        <v>0</v>
      </c>
      <c r="D19" s="26" t="n">
        <v>0</v>
      </c>
      <c r="E19" s="26" t="n">
        <v>0.12</v>
      </c>
    </row>
    <row r="20" customFormat="false" ht="15" hidden="false" customHeight="true" outlineLevel="0" collapsed="false">
      <c r="A20" s="25" t="n">
        <v>19</v>
      </c>
      <c r="B20" s="25" t="s">
        <v>73</v>
      </c>
      <c r="C20" s="26" t="n">
        <v>0.06</v>
      </c>
      <c r="D20" s="26" t="n">
        <v>0</v>
      </c>
      <c r="E20" s="26" t="n">
        <v>0.08</v>
      </c>
    </row>
    <row r="21" customFormat="false" ht="15" hidden="false" customHeight="true" outlineLevel="0" collapsed="false">
      <c r="A21" s="25" t="n">
        <v>20</v>
      </c>
      <c r="B21" s="25" t="s">
        <v>76</v>
      </c>
      <c r="C21" s="26" t="n">
        <v>0</v>
      </c>
      <c r="D21" s="26" t="n">
        <v>0</v>
      </c>
      <c r="E21" s="26" t="n">
        <v>0.16</v>
      </c>
    </row>
    <row r="22" customFormat="false" ht="15" hidden="false" customHeight="true" outlineLevel="0" collapsed="false">
      <c r="A22" s="25" t="n">
        <v>21</v>
      </c>
      <c r="B22" s="25" t="s">
        <v>79</v>
      </c>
      <c r="C22" s="26" t="n">
        <v>0.04</v>
      </c>
      <c r="D22" s="26" t="n">
        <v>0</v>
      </c>
      <c r="E22" s="26" t="n">
        <v>0.04</v>
      </c>
    </row>
    <row r="23" customFormat="false" ht="15" hidden="false" customHeight="true" outlineLevel="0" collapsed="false">
      <c r="A23" s="25" t="n">
        <v>22</v>
      </c>
      <c r="B23" s="25" t="s">
        <v>82</v>
      </c>
      <c r="C23" s="26" t="n">
        <v>0.04</v>
      </c>
      <c r="D23" s="26" t="n">
        <v>0</v>
      </c>
      <c r="E23" s="26" t="n">
        <v>0.04</v>
      </c>
    </row>
    <row r="24" customFormat="false" ht="15" hidden="false" customHeight="true" outlineLevel="0" collapsed="false">
      <c r="A24" s="25" t="n">
        <v>23</v>
      </c>
      <c r="B24" s="25" t="s">
        <v>85</v>
      </c>
      <c r="C24" s="26" t="n">
        <v>0.06</v>
      </c>
      <c r="D24" s="26" t="n">
        <v>0</v>
      </c>
      <c r="E24" s="26" t="n">
        <v>0.02</v>
      </c>
    </row>
    <row r="25" customFormat="false" ht="15" hidden="false" customHeight="true" outlineLevel="0" collapsed="false">
      <c r="A25" s="25" t="n">
        <v>24</v>
      </c>
      <c r="B25" s="25" t="s">
        <v>89</v>
      </c>
      <c r="C25" s="26" t="n">
        <v>0.05</v>
      </c>
      <c r="D25" s="26" t="n">
        <v>0.04</v>
      </c>
      <c r="E25" s="26" t="n">
        <v>0</v>
      </c>
    </row>
    <row r="26" customFormat="false" ht="15" hidden="false" customHeight="true" outlineLevel="0" collapsed="false">
      <c r="A26" s="25" t="n">
        <v>25</v>
      </c>
      <c r="B26" s="25" t="s">
        <v>91</v>
      </c>
      <c r="C26" s="26" t="n">
        <v>0.05</v>
      </c>
      <c r="D26" s="26" t="n">
        <v>0.03</v>
      </c>
      <c r="E26" s="26" t="n">
        <v>0</v>
      </c>
    </row>
    <row r="27" customFormat="false" ht="15" hidden="false" customHeight="true" outlineLevel="0" collapsed="false">
      <c r="A27" s="25" t="n">
        <v>26</v>
      </c>
      <c r="B27" s="25" t="s">
        <v>93</v>
      </c>
      <c r="C27" s="26" t="n">
        <v>0.03</v>
      </c>
      <c r="D27" s="26" t="n">
        <v>0.03</v>
      </c>
      <c r="E27" s="26" t="n">
        <v>0</v>
      </c>
    </row>
    <row r="28" customFormat="false" ht="15" hidden="false" customHeight="true" outlineLevel="0" collapsed="false">
      <c r="A28" s="25" t="n">
        <v>27</v>
      </c>
      <c r="B28" s="25" t="s">
        <v>96</v>
      </c>
      <c r="C28" s="26" t="n">
        <v>0</v>
      </c>
      <c r="D28" s="26" t="n">
        <v>0.04</v>
      </c>
      <c r="E28" s="26" t="n">
        <v>0</v>
      </c>
    </row>
    <row r="29" customFormat="false" ht="15" hidden="false" customHeight="true" outlineLevel="0" collapsed="false">
      <c r="A29" s="25" t="n">
        <v>28</v>
      </c>
      <c r="B29" s="25" t="s">
        <v>98</v>
      </c>
      <c r="C29" s="26" t="n">
        <v>0</v>
      </c>
      <c r="D29" s="26" t="n">
        <v>0</v>
      </c>
      <c r="E29" s="26" t="n">
        <v>0</v>
      </c>
    </row>
    <row r="30" customFormat="false" ht="15" hidden="false" customHeight="true" outlineLevel="0" collapsed="false">
      <c r="A30" s="25" t="n">
        <v>29</v>
      </c>
      <c r="B30" s="25" t="s">
        <v>102</v>
      </c>
      <c r="C30" s="26" t="n">
        <v>0</v>
      </c>
      <c r="D30" s="26" t="n">
        <v>0.06</v>
      </c>
      <c r="E30" s="26" t="n">
        <v>0</v>
      </c>
    </row>
    <row r="31" customFormat="false" ht="15" hidden="false" customHeight="true" outlineLevel="0" collapsed="false">
      <c r="A31" s="25" t="n">
        <v>30</v>
      </c>
      <c r="B31" s="25" t="s">
        <v>104</v>
      </c>
      <c r="C31" s="26" t="n">
        <v>0.1</v>
      </c>
      <c r="D31" s="26" t="n">
        <v>0</v>
      </c>
      <c r="E31" s="26" t="n">
        <v>0</v>
      </c>
    </row>
    <row r="32" customFormat="false" ht="15" hidden="false" customHeight="true" outlineLevel="0" collapsed="false">
      <c r="A32" s="25" t="n">
        <v>31</v>
      </c>
      <c r="B32" s="25" t="s">
        <v>107</v>
      </c>
      <c r="C32" s="26" t="n">
        <v>0.1</v>
      </c>
      <c r="D32" s="26" t="n">
        <v>0</v>
      </c>
      <c r="E32" s="26" t="n">
        <v>0</v>
      </c>
    </row>
    <row r="33" customFormat="false" ht="15" hidden="false" customHeight="true" outlineLevel="0" collapsed="false">
      <c r="A33" s="25" t="n">
        <v>32</v>
      </c>
      <c r="B33" s="25" t="s">
        <v>110</v>
      </c>
      <c r="C33" s="26" t="n">
        <v>0</v>
      </c>
      <c r="D33" s="26" t="n">
        <v>0.06</v>
      </c>
      <c r="E33" s="26" t="n">
        <v>0</v>
      </c>
    </row>
    <row r="34" customFormat="false" ht="15" hidden="false" customHeight="true" outlineLevel="0" collapsed="false">
      <c r="A34" s="25" t="n">
        <v>33</v>
      </c>
      <c r="B34" s="25" t="s">
        <v>113</v>
      </c>
      <c r="C34" s="26" t="n">
        <v>0</v>
      </c>
      <c r="D34" s="26" t="n">
        <v>0.05</v>
      </c>
      <c r="E34" s="26" t="n">
        <v>0</v>
      </c>
    </row>
    <row r="35" customFormat="false" ht="15" hidden="false" customHeight="true" outlineLevel="0" collapsed="false">
      <c r="A35" s="25" t="n">
        <v>34</v>
      </c>
      <c r="B35" s="25" t="s">
        <v>116</v>
      </c>
      <c r="C35" s="26" t="n">
        <v>0.06</v>
      </c>
      <c r="D35" s="26" t="n">
        <v>0</v>
      </c>
      <c r="E35" s="26" t="n">
        <v>0</v>
      </c>
    </row>
    <row r="36" customFormat="false" ht="15" hidden="false" customHeight="true" outlineLevel="0" collapsed="false">
      <c r="A36" s="25" t="n">
        <v>35</v>
      </c>
      <c r="B36" s="25" t="s">
        <v>119</v>
      </c>
      <c r="C36" s="26" t="n">
        <v>0</v>
      </c>
      <c r="D36" s="26" t="n">
        <v>0</v>
      </c>
      <c r="E36" s="26" t="n">
        <v>0</v>
      </c>
    </row>
    <row r="37" customFormat="false" ht="15" hidden="false" customHeight="true" outlineLevel="0" collapsed="false">
      <c r="A37" s="25" t="n">
        <v>36</v>
      </c>
      <c r="B37" s="25" t="s">
        <v>123</v>
      </c>
      <c r="C37" s="26" t="n">
        <v>0</v>
      </c>
      <c r="D37" s="26" t="n">
        <v>0</v>
      </c>
      <c r="E37" s="26" t="n">
        <v>0</v>
      </c>
    </row>
    <row r="38" customFormat="false" ht="15" hidden="false" customHeight="true" outlineLevel="0" collapsed="false">
      <c r="B38" s="4" t="s">
        <v>401</v>
      </c>
      <c r="C38" s="27" t="n">
        <f aca="false">SUM(C2:C37)</f>
        <v>1</v>
      </c>
      <c r="D38" s="27" t="n">
        <f aca="false">SUM(D2:D37)</f>
        <v>1</v>
      </c>
      <c r="E38" s="27" t="n">
        <f aca="false">SUM(E2:E37)</f>
        <v>1</v>
      </c>
    </row>
    <row r="40" customFormat="false" ht="15" hidden="false" customHeight="true" outlineLevel="0" collapsed="false">
      <c r="B40" s="3" t="s">
        <v>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2026-08-06T23:01:23Z</dcterms:created>
  <dc:creator>openpyxl</dc:creator>
  <dc:description/>
  <dc:language>en-US</dc:language>
  <cp:lastModifiedBy/>
  <dcterms:modified xsi:type="dcterms:W3CDTF">2026-08-11T20:58:46Z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