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Viaje" sheetId="2" state="visible" r:id="rId4"/>
    <sheet name="Rotacion" sheetId="3" state="visible" r:id="rId5"/>
    <sheet name="Buque" sheetId="4" state="visible" r:id="rId6"/>
    <sheet name="Produc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<sst xmlns="http://schemas.openxmlformats.org/spreadsheetml/2006/main" count="106" uniqueCount="78">
  <si>
    <t xml:space="preserve">Datos de entrada del modelo de prestow</t>
  </si>
  <si>
    <t xml:space="preserve">Buque Kiwi Arrow - Puerto Lirquen</t>
  </si>
  <si>
    <t xml:space="preserve">COMO USAR ESTE ARCHIVO</t>
  </si>
  <si>
    <t xml:space="preserve">Cada hoja contiene un tipo de dato distinto. Las celdas en amarillo son las que usted debe completar</t>
  </si>
  <si>
    <t xml:space="preserve">o modificar. Guarde el archivo y ejecute el modelo indicando su ruta.</t>
  </si>
  <si>
    <t xml:space="preserve">QUE CONTIENE CADA HOJA</t>
  </si>
  <si>
    <t xml:space="preserve">  Viaje          Cuanta carga hay que embarcar, por producto y destino. CAMBIA EN CADA VIAJE.</t>
  </si>
  <si>
    <t xml:space="preserve">  Rotacion       En que orden se descargan los puertos. CAMBIA EN CADA VIAJE.</t>
  </si>
  <si>
    <t xml:space="preserve">  Buque          Geometria de las bodegas y a que cuadrilla pertenece cada una. Cambia solo si</t>
  </si>
  <si>
    <t xml:space="preserve">                 cambia el buque.</t>
  </si>
  <si>
    <t xml:space="preserve">  Productos      Dimensiones y peso de una unidad de cada producto. Cambia solo si aparece un</t>
  </si>
  <si>
    <t xml:space="preserve">                 producto nuevo.</t>
  </si>
  <si>
    <t xml:space="preserve">LO QUE EL MODELO HACE CON ESTOS DATOS</t>
  </si>
  <si>
    <t xml:space="preserve">Decide que carga va en cada bodega y en que capa, de modo que las cuatro cuadrillas terminen su</t>
  </si>
  <si>
    <t xml:space="preserve">trabajo lo mas parejo posible entre si. El buque no puede zarpar hasta que la ultima cuadrilla</t>
  </si>
  <si>
    <t xml:space="preserve">termina, asi que ese es el tiempo que se busca reducir.</t>
  </si>
  <si>
    <t xml:space="preserve">Al mismo tiempo respeta que la carga que se descarga primero en el viaje quede siempre arriba, para</t>
  </si>
  <si>
    <t xml:space="preserve">no tener que sacar y volver a meter carga en los puertos intermedios.</t>
  </si>
  <si>
    <t xml:space="preserve">ADVERTENCIAS SOBRE LA CALIDAD DE LOS DATOS</t>
  </si>
  <si>
    <t xml:space="preserve">Los valores que vienen cargados corresponden al caso real del Kiwi Arrow, pero varios son supuestos</t>
  </si>
  <si>
    <t xml:space="preserve">sin confirmar con el puerto. Estan marcados en rojo en cada hoja. Antes de usar los resultados de</t>
  </si>
  <si>
    <t xml:space="preserve">forma operativa, conviene verificarlos.</t>
  </si>
  <si>
    <t xml:space="preserve">En particular: tres de los cinco productos no tienen plantilla de planimetria propia del Kiwi Arrow,</t>
  </si>
  <si>
    <t xml:space="preserve">asi que sus dimensiones son estimaciones. Uno de ellos, ARAUCO EKP, representa el 40% de la carga.</t>
  </si>
  <si>
    <t xml:space="preserve">Carga a embarcar en este viaje</t>
  </si>
  <si>
    <t xml:space="preserve">Una fila por combinacion de producto y destino. Agregue o elimine filas segun necesite.</t>
  </si>
  <si>
    <t xml:space="preserve">producto</t>
  </si>
  <si>
    <t xml:space="preserve">destino</t>
  </si>
  <si>
    <t xml:space="preserve">unidades</t>
  </si>
  <si>
    <t xml:space="preserve">ARAUCO_BKP</t>
  </si>
  <si>
    <t xml:space="preserve">QINGDAO</t>
  </si>
  <si>
    <t xml:space="preserve">ULSAN</t>
  </si>
  <si>
    <t xml:space="preserve">ARAUCO_EKP</t>
  </si>
  <si>
    <t xml:space="preserve">KUNSAN</t>
  </si>
  <si>
    <t xml:space="preserve">TAICHUNG</t>
  </si>
  <si>
    <t xml:space="preserve">CELCO_UKP</t>
  </si>
  <si>
    <t xml:space="preserve">N_ALDEA_BKP</t>
  </si>
  <si>
    <t xml:space="preserve">N_ALDEA_EKP</t>
  </si>
  <si>
    <t xml:space="preserve">TOTAL</t>
  </si>
  <si>
    <t xml:space="preserve">Los nombres se eligen de la lista desplegable y deben coincidir con las hojas Productos y Rotacion.</t>
  </si>
  <si>
    <t xml:space="preserve">Rotacion de puertos de este viaje</t>
  </si>
  <si>
    <t xml:space="preserve">El orden en que el buque descarga. 1 = se descarga primero, y por lo tanto va arriba en la bodega.</t>
  </si>
  <si>
    <t xml:space="preserve">orden_descarga</t>
  </si>
  <si>
    <t xml:space="preserve">nota</t>
  </si>
  <si>
    <t xml:space="preserve">se descarga primero</t>
  </si>
  <si>
    <t xml:space="preserve">ultimo destino - confirmado con el puerto</t>
  </si>
  <si>
    <t xml:space="preserve">Dos destinos pueden compartir el mismo orden si el orden real no se conoce.</t>
  </si>
  <si>
    <t xml:space="preserve">Orden confirmado con el puerto: Ulsan es el ultimo destino.</t>
  </si>
  <si>
    <t xml:space="preserve">Configuracion del buque</t>
  </si>
  <si>
    <t xml:space="preserve">Geometria de cada bodega y la cuadrilla que la atiende. Cambia solo si cambia el buque.</t>
  </si>
  <si>
    <t xml:space="preserve">bodega</t>
  </si>
  <si>
    <t xml:space="preserve">largo_m</t>
  </si>
  <si>
    <t xml:space="preserve">ancho_m</t>
  </si>
  <si>
    <t xml:space="preserve">planes</t>
  </si>
  <si>
    <t xml:space="preserve">cuadrilla</t>
  </si>
  <si>
    <t xml:space="preserve">mas pequena que el resto: verificado</t>
  </si>
  <si>
    <t xml:space="preserve">Cada cuadrilla atiende dos bodegas contiguas y las trabaja una despues de la otra.</t>
  </si>
  <si>
    <t xml:space="preserve">SUPUESTO SIN CONFIRMAR: que los pares de bodegas por cuadrilla sean fijos.</t>
  </si>
  <si>
    <t xml:space="preserve">Si el puerto pudiera reagruparlos, el resultado mejoraria.</t>
  </si>
  <si>
    <t xml:space="preserve">SUPUESTO SIN CONFIRMAR: que las 11 capas tengan la misma geometria.</t>
  </si>
  <si>
    <t xml:space="preserve">Solo hay plantillas de planimetria de las capas 1 a 6.</t>
  </si>
  <si>
    <t xml:space="preserve">Dimensiones de los productos</t>
  </si>
  <si>
    <t xml:space="preserve">Tamano y peso de una unidad de cada producto. Cambia solo si aparece un producto nuevo.</t>
  </si>
  <si>
    <t xml:space="preserve">huella_largo_m</t>
  </si>
  <si>
    <t xml:space="preserve">huella_ancho_m</t>
  </si>
  <si>
    <t xml:space="preserve">peso_t</t>
  </si>
  <si>
    <t xml:space="preserve">origen_dato</t>
  </si>
  <si>
    <t xml:space="preserve">verificado - plantillas LH-1 (bodega 1)</t>
  </si>
  <si>
    <t xml:space="preserve">verificado - plantillas LH-3, LH-5, LH-7</t>
  </si>
  <si>
    <t xml:space="preserve">verificado - plantillas LH-2 a LH-8</t>
  </si>
  <si>
    <t xml:space="preserve">verificado - plantillas LH-2, LH-4, LH-7</t>
  </si>
  <si>
    <t xml:space="preserve">verificado - plantillas LH-2, LH-4, LH-6</t>
  </si>
  <si>
    <t xml:space="preserve">La huella es la superficie que ocupa una unidad en el piso de la bodega.</t>
  </si>
  <si>
    <t xml:space="preserve">Las cinco huellas provienen de plantillas de planimetria del Kiwi Arrow.</t>
  </si>
  <si>
    <t xml:space="preserve">Algunas plantillas usan dos anchos distintos para el mismo producto segun la zona;</t>
  </si>
  <si>
    <t xml:space="preserve">se tomo el mas frecuente. Ver la columna origen_dato.</t>
  </si>
  <si>
    <t xml:space="preserve">ATENCION: el modelo calcula la capacidad por AREA, no por empaquetamiento geometrico.</t>
  </si>
  <si>
    <t xml:space="preserve">Dos productos de area parecida pero forma distinta no se acomodan igual.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</si>
</sst>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1F1E1C"/>
      <name val="Arial"/>
      <family val="0"/>
      <charset val="1"/>
    </font>
    <font>
      <b val="true"/>
      <sz val="11"/>
      <color rgb="FFB0431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0431F"/>
      <rgbColor rgb="FF993366"/>
      <rgbColor rgb="FF44546A"/>
      <rgbColor rgb="FF1F1E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 t="s">
        <v>22</v>
      </c>
    </row>
    <row r="31" customFormat="false" ht="15" hidden="false" customHeight="false" outlineLevel="0" collapsed="false">
      <c r="A3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5" t="s">
        <v>24</v>
      </c>
    </row>
    <row r="2" customFormat="false" ht="15" hidden="false" customHeight="false" outlineLevel="0" collapsed="false">
      <c r="A2" s="6" t="s">
        <v>25</v>
      </c>
    </row>
    <row r="4" customFormat="false" ht="27.75" hidden="false" customHeight="true" outlineLevel="0" collapsed="false">
      <c r="A4" s="7" t="s">
        <v>26</v>
      </c>
      <c r="B4" s="7" t="s">
        <v>27</v>
      </c>
      <c r="C4" s="7" t="s">
        <v>28</v>
      </c>
    </row>
    <row r="5" customFormat="false" ht="15" hidden="false" customHeight="false" outlineLevel="0" collapsed="false">
      <c r="A5" s="8" t="s">
        <v>29</v>
      </c>
      <c r="B5" s="8" t="s">
        <v>30</v>
      </c>
      <c r="C5" s="8" t="n">
        <v>5808</v>
      </c>
    </row>
    <row r="6" customFormat="false" ht="15" hidden="false" customHeight="false" outlineLevel="0" collapsed="false">
      <c r="A6" s="8" t="s">
        <v>29</v>
      </c>
      <c r="B6" s="8" t="s">
        <v>31</v>
      </c>
      <c r="C6" s="8" t="n">
        <v>702</v>
      </c>
    </row>
    <row r="7" customFormat="false" ht="15" hidden="false" customHeight="false" outlineLevel="0" collapsed="false">
      <c r="A7" s="8" t="s">
        <v>32</v>
      </c>
      <c r="B7" s="8" t="s">
        <v>33</v>
      </c>
      <c r="C7" s="8" t="n">
        <v>1820</v>
      </c>
    </row>
    <row r="8" customFormat="false" ht="15" hidden="false" customHeight="false" outlineLevel="0" collapsed="false">
      <c r="A8" s="8" t="s">
        <v>32</v>
      </c>
      <c r="B8" s="8" t="s">
        <v>30</v>
      </c>
      <c r="C8" s="8" t="n">
        <v>5487</v>
      </c>
    </row>
    <row r="9" customFormat="false" ht="15" hidden="false" customHeight="false" outlineLevel="0" collapsed="false">
      <c r="A9" s="8" t="s">
        <v>32</v>
      </c>
      <c r="B9" s="8" t="s">
        <v>34</v>
      </c>
      <c r="C9" s="8" t="n">
        <v>1040</v>
      </c>
    </row>
    <row r="10" customFormat="false" ht="15" hidden="false" customHeight="false" outlineLevel="0" collapsed="false">
      <c r="A10" s="8" t="s">
        <v>32</v>
      </c>
      <c r="B10" s="8" t="s">
        <v>31</v>
      </c>
      <c r="C10" s="8" t="n">
        <v>3338</v>
      </c>
    </row>
    <row r="11" customFormat="false" ht="15" hidden="false" customHeight="false" outlineLevel="0" collapsed="false">
      <c r="A11" s="8" t="s">
        <v>35</v>
      </c>
      <c r="B11" s="8" t="s">
        <v>33</v>
      </c>
      <c r="C11" s="8" t="n">
        <v>1090</v>
      </c>
    </row>
    <row r="12" customFormat="false" ht="15" hidden="false" customHeight="false" outlineLevel="0" collapsed="false">
      <c r="A12" s="8" t="s">
        <v>35</v>
      </c>
      <c r="B12" s="8" t="s">
        <v>34</v>
      </c>
      <c r="C12" s="8" t="n">
        <v>1091</v>
      </c>
    </row>
    <row r="13" customFormat="false" ht="15" hidden="false" customHeight="false" outlineLevel="0" collapsed="false">
      <c r="A13" s="8" t="s">
        <v>36</v>
      </c>
      <c r="B13" s="8" t="s">
        <v>30</v>
      </c>
      <c r="C13" s="8" t="n">
        <v>858</v>
      </c>
    </row>
    <row r="14" customFormat="false" ht="15" hidden="false" customHeight="false" outlineLevel="0" collapsed="false">
      <c r="A14" s="8" t="s">
        <v>36</v>
      </c>
      <c r="B14" s="8" t="s">
        <v>34</v>
      </c>
      <c r="C14" s="8" t="n">
        <v>468</v>
      </c>
    </row>
    <row r="15" customFormat="false" ht="15" hidden="false" customHeight="false" outlineLevel="0" collapsed="false">
      <c r="A15" s="8" t="s">
        <v>37</v>
      </c>
      <c r="B15" s="8" t="s">
        <v>33</v>
      </c>
      <c r="C15" s="8" t="n">
        <v>4390</v>
      </c>
    </row>
    <row r="16" customFormat="false" ht="15" hidden="false" customHeight="false" outlineLevel="0" collapsed="false">
      <c r="A16" s="8" t="s">
        <v>37</v>
      </c>
      <c r="B16" s="8" t="s">
        <v>30</v>
      </c>
      <c r="C16" s="8" t="n">
        <v>1290</v>
      </c>
    </row>
    <row r="17" customFormat="false" ht="15" hidden="false" customHeight="false" outlineLevel="0" collapsed="false">
      <c r="A17" s="8" t="s">
        <v>37</v>
      </c>
      <c r="B17" s="8" t="s">
        <v>34</v>
      </c>
      <c r="C17" s="8" t="n">
        <v>1950</v>
      </c>
    </row>
    <row r="19" customFormat="false" ht="15" hidden="false" customHeight="false" outlineLevel="0" collapsed="false">
      <c r="A19" s="9" t="s">
        <v>38</v>
      </c>
      <c r="C19" s="10" t="n">
        <f aca="false">SUM(C5:C17)</f>
        <v>29332</v>
      </c>
    </row>
    <row r="21" customFormat="false" ht="15" hidden="false" customHeight="false" outlineLevel="0" collapsed="false">
      <c r="A21" s="11" t="s">
        <v>39</v>
      </c>
    </row>
  </sheetData>
  <dataValidations count="2">
    <dataValidation allowBlank="true" errorStyle="stop" operator="between" showDropDown="false" showErrorMessage="false" showInputMessage="false" sqref="A5:A65" type="list">
      <formula1>"N_ALDEA_EKP,N_ALDEA_BKP,ARAUCO_EKP,ARAUCO_BKP,CELCO_UKP"</formula1>
      <formula2>0</formula2>
    </dataValidation>
    <dataValidation allowBlank="true" errorStyle="stop" operator="between" showDropDown="false" showErrorMessage="false" showInputMessage="false" sqref="B5:B65" type="list">
      <formula1>"TAICHUNG,QINGDAO,KUNSAN,ULSAN"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6" t="s">
        <v>41</v>
      </c>
    </row>
    <row r="4" customFormat="false" ht="27.75" hidden="false" customHeight="true" outlineLevel="0" collapsed="false">
      <c r="A4" s="7" t="s">
        <v>27</v>
      </c>
      <c r="B4" s="7" t="s">
        <v>42</v>
      </c>
      <c r="C4" s="7" t="s">
        <v>43</v>
      </c>
    </row>
    <row r="5" customFormat="false" ht="15" hidden="false" customHeight="false" outlineLevel="0" collapsed="false">
      <c r="A5" s="8" t="s">
        <v>34</v>
      </c>
      <c r="B5" s="8" t="n">
        <v>1</v>
      </c>
      <c r="C5" s="8" t="s">
        <v>44</v>
      </c>
    </row>
    <row r="6" customFormat="false" ht="15" hidden="false" customHeight="false" outlineLevel="0" collapsed="false">
      <c r="A6" s="8" t="s">
        <v>30</v>
      </c>
      <c r="B6" s="8" t="n">
        <v>2</v>
      </c>
      <c r="C6" s="8"/>
    </row>
    <row r="7" customFormat="false" ht="15" hidden="false" customHeight="false" outlineLevel="0" collapsed="false">
      <c r="A7" s="8" t="s">
        <v>33</v>
      </c>
      <c r="B7" s="8" t="n">
        <v>3</v>
      </c>
      <c r="C7" s="8"/>
    </row>
    <row r="8" customFormat="false" ht="15" hidden="false" customHeight="false" outlineLevel="0" collapsed="false">
      <c r="A8" s="8" t="s">
        <v>31</v>
      </c>
      <c r="B8" s="8" t="n">
        <v>4</v>
      </c>
      <c r="C8" s="8" t="s">
        <v>45</v>
      </c>
    </row>
    <row r="10" customFormat="false" ht="15" hidden="false" customHeight="false" outlineLevel="0" collapsed="false">
      <c r="A10" s="11" t="s">
        <v>46</v>
      </c>
    </row>
    <row r="11" customFormat="false" ht="15" hidden="false" customHeight="false" outlineLevel="0" collapsed="false">
      <c r="A11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5" t="s">
        <v>48</v>
      </c>
    </row>
    <row r="2" customFormat="false" ht="15" hidden="false" customHeight="false" outlineLevel="0" collapsed="false">
      <c r="A2" s="6" t="s">
        <v>49</v>
      </c>
    </row>
    <row r="4" customFormat="false" ht="27.75" hidden="false" customHeight="true" outlineLevel="0" collapsed="false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</row>
    <row r="5" customFormat="false" ht="15" hidden="false" customHeight="false" outlineLevel="0" collapsed="false">
      <c r="A5" s="8" t="n">
        <v>8</v>
      </c>
      <c r="B5" s="8" t="n">
        <v>18.3</v>
      </c>
      <c r="C5" s="8" t="n">
        <v>27.4</v>
      </c>
      <c r="D5" s="8" t="n">
        <v>11</v>
      </c>
      <c r="E5" s="8" t="n">
        <v>1</v>
      </c>
    </row>
    <row r="6" customFormat="false" ht="15" hidden="false" customHeight="false" outlineLevel="0" collapsed="false">
      <c r="A6" s="8" t="n">
        <v>7</v>
      </c>
      <c r="B6" s="8" t="n">
        <v>18.3</v>
      </c>
      <c r="C6" s="8" t="n">
        <v>27.4</v>
      </c>
      <c r="D6" s="8" t="n">
        <v>11</v>
      </c>
      <c r="E6" s="8" t="n">
        <v>1</v>
      </c>
    </row>
    <row r="7" customFormat="false" ht="15" hidden="false" customHeight="false" outlineLevel="0" collapsed="false">
      <c r="A7" s="8" t="n">
        <v>6</v>
      </c>
      <c r="B7" s="8" t="n">
        <v>18.3</v>
      </c>
      <c r="C7" s="8" t="n">
        <v>27.4</v>
      </c>
      <c r="D7" s="8" t="n">
        <v>11</v>
      </c>
      <c r="E7" s="8" t="n">
        <v>2</v>
      </c>
    </row>
    <row r="8" customFormat="false" ht="15" hidden="false" customHeight="false" outlineLevel="0" collapsed="false">
      <c r="A8" s="8" t="n">
        <v>5</v>
      </c>
      <c r="B8" s="8" t="n">
        <v>18.3</v>
      </c>
      <c r="C8" s="8" t="n">
        <v>27.4</v>
      </c>
      <c r="D8" s="8" t="n">
        <v>11</v>
      </c>
      <c r="E8" s="8" t="n">
        <v>2</v>
      </c>
    </row>
    <row r="9" customFormat="false" ht="15" hidden="false" customHeight="false" outlineLevel="0" collapsed="false">
      <c r="A9" s="8" t="n">
        <v>4</v>
      </c>
      <c r="B9" s="8" t="n">
        <v>18.3</v>
      </c>
      <c r="C9" s="8" t="n">
        <v>27.4</v>
      </c>
      <c r="D9" s="8" t="n">
        <v>11</v>
      </c>
      <c r="E9" s="8" t="n">
        <v>3</v>
      </c>
    </row>
    <row r="10" customFormat="false" ht="15" hidden="false" customHeight="false" outlineLevel="0" collapsed="false">
      <c r="A10" s="8" t="n">
        <v>3</v>
      </c>
      <c r="B10" s="8" t="n">
        <v>18.3</v>
      </c>
      <c r="C10" s="8" t="n">
        <v>27.4</v>
      </c>
      <c r="D10" s="8" t="n">
        <v>11</v>
      </c>
      <c r="E10" s="8" t="n">
        <v>3</v>
      </c>
    </row>
    <row r="11" customFormat="false" ht="15" hidden="false" customHeight="false" outlineLevel="0" collapsed="false">
      <c r="A11" s="8" t="n">
        <v>2</v>
      </c>
      <c r="B11" s="8" t="n">
        <v>18.3</v>
      </c>
      <c r="C11" s="8" t="n">
        <v>27.4</v>
      </c>
      <c r="D11" s="8" t="n">
        <v>11</v>
      </c>
      <c r="E11" s="8" t="n">
        <v>4</v>
      </c>
    </row>
    <row r="12" customFormat="false" ht="15" hidden="false" customHeight="false" outlineLevel="0" collapsed="false">
      <c r="A12" s="8" t="n">
        <v>1</v>
      </c>
      <c r="B12" s="8" t="n">
        <v>16.8</v>
      </c>
      <c r="C12" s="8" t="n">
        <v>14.8</v>
      </c>
      <c r="D12" s="8" t="n">
        <v>11</v>
      </c>
      <c r="E12" s="8" t="n">
        <v>4</v>
      </c>
      <c r="F12" s="12" t="s">
        <v>55</v>
      </c>
    </row>
    <row r="14" customFormat="false" ht="15" hidden="false" customHeight="false" outlineLevel="0" collapsed="false">
      <c r="A14" s="11" t="s">
        <v>56</v>
      </c>
    </row>
    <row r="15" customFormat="false" ht="15" hidden="false" customHeight="false" outlineLevel="0" collapsed="false">
      <c r="A15" s="12" t="s">
        <v>57</v>
      </c>
    </row>
    <row r="16" customFormat="false" ht="15" hidden="false" customHeight="false" outlineLevel="0" collapsed="false">
      <c r="A16" s="12" t="s">
        <v>58</v>
      </c>
    </row>
    <row r="17" customFormat="false" ht="15" hidden="false" customHeight="false" outlineLevel="0" collapsed="false">
      <c r="A17" s="12" t="s">
        <v>59</v>
      </c>
    </row>
    <row r="18" customFormat="false" ht="15" hidden="false" customHeight="false" outlineLevel="0" collapsed="false">
      <c r="A18" s="1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7"/>
    <col collapsed="false" customWidth="true" hidden="false" outlineLevel="0" max="4" min="4" style="0" width="11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5" t="s">
        <v>61</v>
      </c>
    </row>
    <row r="2" customFormat="false" ht="15" hidden="false" customHeight="false" outlineLevel="0" collapsed="false">
      <c r="A2" s="6" t="s">
        <v>62</v>
      </c>
    </row>
    <row r="4" customFormat="false" ht="27.75" hidden="false" customHeight="true" outlineLevel="0" collapsed="false">
      <c r="A4" s="7" t="s">
        <v>26</v>
      </c>
      <c r="B4" s="7" t="s">
        <v>63</v>
      </c>
      <c r="C4" s="7" t="s">
        <v>64</v>
      </c>
      <c r="D4" s="7" t="s">
        <v>65</v>
      </c>
      <c r="E4" s="7" t="s">
        <v>66</v>
      </c>
    </row>
    <row r="5" customFormat="false" ht="15" hidden="false" customHeight="false" outlineLevel="0" collapsed="false">
      <c r="A5" s="8" t="s">
        <v>37</v>
      </c>
      <c r="B5" s="8" t="n">
        <v>0.84</v>
      </c>
      <c r="C5" s="8" t="n">
        <v>1.47</v>
      </c>
      <c r="D5" s="8" t="n">
        <v>2.02</v>
      </c>
      <c r="E5" s="8" t="s">
        <v>67</v>
      </c>
    </row>
    <row r="6" customFormat="false" ht="15" hidden="false" customHeight="false" outlineLevel="0" collapsed="false">
      <c r="A6" s="8" t="s">
        <v>36</v>
      </c>
      <c r="B6" s="8" t="n">
        <v>0.84</v>
      </c>
      <c r="C6" s="8" t="n">
        <v>1.36</v>
      </c>
      <c r="D6" s="8" t="n">
        <v>2.02</v>
      </c>
      <c r="E6" s="8" t="s">
        <v>68</v>
      </c>
    </row>
    <row r="7" customFormat="false" ht="15" hidden="false" customHeight="false" outlineLevel="0" collapsed="false">
      <c r="A7" s="8" t="s">
        <v>32</v>
      </c>
      <c r="B7" s="8" t="n">
        <v>0.89</v>
      </c>
      <c r="C7" s="8" t="n">
        <v>1.41</v>
      </c>
      <c r="D7" s="8" t="n">
        <v>2.02</v>
      </c>
      <c r="E7" s="8" t="s">
        <v>69</v>
      </c>
    </row>
    <row r="8" customFormat="false" ht="15" hidden="false" customHeight="false" outlineLevel="0" collapsed="false">
      <c r="A8" s="8" t="s">
        <v>29</v>
      </c>
      <c r="B8" s="8" t="n">
        <v>0.84</v>
      </c>
      <c r="C8" s="8" t="n">
        <v>1.36</v>
      </c>
      <c r="D8" s="8" t="n">
        <v>2.02</v>
      </c>
      <c r="E8" s="8" t="s">
        <v>70</v>
      </c>
    </row>
    <row r="9" customFormat="false" ht="15" hidden="false" customHeight="false" outlineLevel="0" collapsed="false">
      <c r="A9" s="8" t="s">
        <v>35</v>
      </c>
      <c r="B9" s="8" t="n">
        <v>0.84</v>
      </c>
      <c r="C9" s="8" t="n">
        <v>1.43</v>
      </c>
      <c r="D9" s="8" t="n">
        <v>2.02</v>
      </c>
      <c r="E9" s="8" t="s">
        <v>71</v>
      </c>
    </row>
    <row r="11" customFormat="false" ht="15" hidden="false" customHeight="false" outlineLevel="0" collapsed="false">
      <c r="A11" s="11" t="s">
        <v>72</v>
      </c>
    </row>
    <row r="12" customFormat="false" ht="15" hidden="false" customHeight="false" outlineLevel="0" collapsed="false">
      <c r="A12" s="11" t="s">
        <v>73</v>
      </c>
    </row>
    <row r="13" customFormat="false" ht="15" hidden="false" customHeight="false" outlineLevel="0" collapsed="false">
      <c r="A13" s="11" t="s">
        <v>74</v>
      </c>
    </row>
    <row r="14" customFormat="false" ht="15" hidden="false" customHeight="false" outlineLevel="0" collapsed="false">
      <c r="A14" s="11" t="s">
        <v>75</v>
      </c>
    </row>
    <row r="15" customFormat="false" ht="15" hidden="false" customHeight="false" outlineLevel="0" collapsed="false">
      <c r="A15" s="12" t="s">
        <v>76</v>
      </c>
    </row>
    <row r="16" customFormat="false" ht="15" hidden="false" customHeight="false" outlineLevel="0" collapsed="false">
      <c r="A16" s="1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2026-08-19T04:46:52Z</dcterms:created>
  <dc:creator>openpyxl</dc:creator>
  <dc:description/>
  <dc:language>en-US</dc:language>
  <cp:lastModifiedBy/>
  <dcterms:modified xsi:type="dcterms:W3CDTF">2026-08-19T04:46:52Z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